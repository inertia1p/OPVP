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K:\Overdue Payment Visualization Platform\OPVP\历年汇总\"/>
    </mc:Choice>
  </mc:AlternateContent>
  <xr:revisionPtr revIDLastSave="0" documentId="13_ncr:1_{7A723EDA-91A8-460B-9CF0-0A89D17879C4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6" i="1" l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U67" i="1" s="1"/>
  <c r="T57" i="1"/>
  <c r="T67" i="1" s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U56" i="1" s="1"/>
  <c r="T46" i="1"/>
  <c r="T56" i="1" s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U45" i="1" s="1"/>
  <c r="W45" i="1" s="1"/>
  <c r="T35" i="1"/>
  <c r="T45" i="1" s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U34" i="1" s="1"/>
  <c r="T24" i="1"/>
  <c r="T34" i="1" s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U23" i="1" s="1"/>
  <c r="W23" i="1" s="1"/>
  <c r="T13" i="1"/>
  <c r="T23" i="1" s="1"/>
  <c r="U12" i="1"/>
  <c r="W12" i="1" s="1"/>
  <c r="U2" i="1"/>
  <c r="U3" i="1"/>
  <c r="U4" i="1"/>
  <c r="U5" i="1"/>
  <c r="U6" i="1"/>
  <c r="U7" i="1"/>
  <c r="U8" i="1"/>
  <c r="U9" i="1"/>
  <c r="U10" i="1"/>
  <c r="U11" i="1"/>
  <c r="T12" i="1"/>
  <c r="T3" i="1"/>
  <c r="T4" i="1"/>
  <c r="T5" i="1"/>
  <c r="T6" i="1"/>
  <c r="T7" i="1"/>
  <c r="T8" i="1"/>
  <c r="T9" i="1"/>
  <c r="T10" i="1"/>
  <c r="T11" i="1"/>
  <c r="T2" i="1"/>
  <c r="W67" i="1" l="1"/>
  <c r="W56" i="1"/>
  <c r="W34" i="1"/>
</calcChain>
</file>

<file path=xl/sharedStrings.xml><?xml version="1.0" encoding="utf-8"?>
<sst xmlns="http://schemas.openxmlformats.org/spreadsheetml/2006/main" count="318" uniqueCount="43">
  <si>
    <t>账期</t>
  </si>
  <si>
    <t>责任单元</t>
  </si>
  <si>
    <t>月初欠费</t>
  </si>
  <si>
    <t>累计坏账</t>
  </si>
  <si>
    <t>信用减值</t>
  </si>
  <si>
    <t>1个月内</t>
  </si>
  <si>
    <t>2-3个月</t>
  </si>
  <si>
    <t>3-6个月</t>
  </si>
  <si>
    <t>7-12个月</t>
  </si>
  <si>
    <t>1年以上</t>
  </si>
  <si>
    <t>手机</t>
  </si>
  <si>
    <t>宽带</t>
  </si>
  <si>
    <t>专线</t>
  </si>
  <si>
    <t>连接</t>
  </si>
  <si>
    <t>IDC</t>
  </si>
  <si>
    <t>标品（不含连接）</t>
  </si>
  <si>
    <t>回款</t>
  </si>
  <si>
    <t>占收比</t>
  </si>
  <si>
    <t>202412</t>
  </si>
  <si>
    <t>嘉善</t>
  </si>
  <si>
    <t>平湖</t>
  </si>
  <si>
    <t>政企业务群</t>
  </si>
  <si>
    <t>本级企业</t>
  </si>
  <si>
    <t>本级政府</t>
  </si>
  <si>
    <t>桐乡</t>
  </si>
  <si>
    <t>海宁</t>
  </si>
  <si>
    <t>海盐</t>
  </si>
  <si>
    <t>濮院</t>
  </si>
  <si>
    <t>禾城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</si>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</sst>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1" applyNumberFormat="1" applyFont="1" applyAlignment="1"/>
    <xf numFmtId="9" fontId="0" fillId="0" borderId="0" xfId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"/>
  <sheetViews>
    <sheetView tabSelected="1" topLeftCell="A22" workbookViewId="0">
      <selection activeCell="W59" sqref="W59"/>
    </sheetView>
  </sheetViews>
  <sheetFormatPr defaultRowHeight="13.5" x14ac:dyDescent="0.15"/>
  <cols>
    <col min="20" max="20" width="11.625" bestFit="1" customWidth="1"/>
  </cols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3" x14ac:dyDescent="0.15">
      <c r="A2" t="s">
        <v>18</v>
      </c>
      <c r="B2" t="s">
        <v>19</v>
      </c>
      <c r="C2">
        <v>1715238.8700000171</v>
      </c>
      <c r="D2">
        <v>773572.94310001575</v>
      </c>
      <c r="E2">
        <v>773572.94310001575</v>
      </c>
      <c r="F2">
        <v>550907.11999999755</v>
      </c>
      <c r="G2">
        <v>228009.35</v>
      </c>
      <c r="H2">
        <v>150700.20000000001</v>
      </c>
      <c r="I2">
        <v>136638.35000000021</v>
      </c>
      <c r="J2">
        <v>641345.42000000214</v>
      </c>
      <c r="K2">
        <v>549825.02999999875</v>
      </c>
      <c r="L2">
        <v>302898.04999999981</v>
      </c>
      <c r="M2">
        <v>384382.93999999989</v>
      </c>
      <c r="N2">
        <v>211492.46</v>
      </c>
      <c r="O2">
        <v>34900</v>
      </c>
      <c r="P2">
        <v>204264.38</v>
      </c>
      <c r="Q2">
        <v>302953.93999999948</v>
      </c>
      <c r="R2" s="2">
        <v>9.566945054552721E-2</v>
      </c>
      <c r="T2">
        <f>C2/R2</f>
        <v>17928804.443</v>
      </c>
      <c r="U2">
        <f>C2</f>
        <v>1715238.8700000171</v>
      </c>
    </row>
    <row r="3" spans="1:23" x14ac:dyDescent="0.15">
      <c r="A3" t="s">
        <v>18</v>
      </c>
      <c r="B3" t="s">
        <v>20</v>
      </c>
      <c r="C3">
        <v>1365281.330000001</v>
      </c>
      <c r="D3">
        <v>513387.30959999922</v>
      </c>
      <c r="E3">
        <v>513387.30959999922</v>
      </c>
      <c r="F3">
        <v>525192.53999999748</v>
      </c>
      <c r="G3">
        <v>288400.00000000012</v>
      </c>
      <c r="H3">
        <v>45146.400000000023</v>
      </c>
      <c r="I3">
        <v>65785.359999999971</v>
      </c>
      <c r="J3">
        <v>439285.4700000009</v>
      </c>
      <c r="K3">
        <v>559769.9500000003</v>
      </c>
      <c r="L3">
        <v>93719.400000000052</v>
      </c>
      <c r="M3">
        <v>135577.07</v>
      </c>
      <c r="N3">
        <v>59217.3</v>
      </c>
      <c r="O3">
        <v>0</v>
      </c>
      <c r="P3">
        <v>272655</v>
      </c>
      <c r="Q3">
        <v>330911.88999999972</v>
      </c>
      <c r="R3" s="2">
        <v>5.8494601506468395E-2</v>
      </c>
      <c r="T3">
        <f t="shared" ref="T3:T11" si="0">C3/R3</f>
        <v>23340296.280999996</v>
      </c>
      <c r="U3">
        <f t="shared" ref="U3:U12" si="1">C3</f>
        <v>1365281.330000001</v>
      </c>
    </row>
    <row r="4" spans="1:23" x14ac:dyDescent="0.15">
      <c r="A4" t="s">
        <v>18</v>
      </c>
      <c r="B4" t="s">
        <v>21</v>
      </c>
      <c r="C4">
        <v>38518335.229999997</v>
      </c>
      <c r="D4">
        <v>2363095.9525000001</v>
      </c>
      <c r="E4">
        <v>2363095.9525000001</v>
      </c>
      <c r="F4">
        <v>16095447.810000001</v>
      </c>
      <c r="G4">
        <v>12015825.5</v>
      </c>
      <c r="H4">
        <v>7359232.3199999994</v>
      </c>
      <c r="I4">
        <v>3004674.21</v>
      </c>
      <c r="J4">
        <v>43155.39</v>
      </c>
      <c r="K4">
        <v>213.54</v>
      </c>
      <c r="L4">
        <v>126.02</v>
      </c>
      <c r="M4">
        <v>377725.94</v>
      </c>
      <c r="N4">
        <v>1302.8900000000001</v>
      </c>
      <c r="O4">
        <v>38136692.859999999</v>
      </c>
      <c r="P4">
        <v>0</v>
      </c>
      <c r="Q4">
        <v>33</v>
      </c>
      <c r="R4" s="2">
        <v>0.25067501867554381</v>
      </c>
      <c r="T4">
        <f t="shared" si="0"/>
        <v>153658451.62200001</v>
      </c>
      <c r="U4">
        <f t="shared" si="1"/>
        <v>38518335.229999997</v>
      </c>
    </row>
    <row r="5" spans="1:23" x14ac:dyDescent="0.15">
      <c r="A5" t="s">
        <v>18</v>
      </c>
      <c r="B5" t="s">
        <v>22</v>
      </c>
      <c r="C5">
        <v>4889832.6900000107</v>
      </c>
      <c r="D5">
        <v>593088.28060003789</v>
      </c>
      <c r="E5">
        <v>593088.28060003789</v>
      </c>
      <c r="F5">
        <v>2161897.3699999959</v>
      </c>
      <c r="G5">
        <v>890874.96999999951</v>
      </c>
      <c r="H5">
        <v>1019678.149999999</v>
      </c>
      <c r="I5">
        <v>346191.76999999938</v>
      </c>
      <c r="J5">
        <v>339612.92000000062</v>
      </c>
      <c r="K5">
        <v>680263.51999999944</v>
      </c>
      <c r="L5">
        <v>310065.69000000041</v>
      </c>
      <c r="M5">
        <v>1638375.769999997</v>
      </c>
      <c r="N5">
        <v>658581.56999999995</v>
      </c>
      <c r="O5">
        <v>0</v>
      </c>
      <c r="P5">
        <v>698557.5399999998</v>
      </c>
      <c r="Q5">
        <v>1784401.199999999</v>
      </c>
      <c r="R5" s="2">
        <v>0.13767202669996451</v>
      </c>
      <c r="T5">
        <f t="shared" si="0"/>
        <v>35517982.898999996</v>
      </c>
      <c r="U5">
        <f t="shared" si="1"/>
        <v>4889832.6900000107</v>
      </c>
    </row>
    <row r="6" spans="1:23" x14ac:dyDescent="0.15">
      <c r="A6" t="s">
        <v>18</v>
      </c>
      <c r="B6" t="s">
        <v>23</v>
      </c>
      <c r="C6">
        <v>2869124.310000062</v>
      </c>
      <c r="D6">
        <v>708840.40590002388</v>
      </c>
      <c r="E6">
        <v>708840.40590002388</v>
      </c>
      <c r="F6">
        <v>483893.60999999399</v>
      </c>
      <c r="G6">
        <v>330605.43000000587</v>
      </c>
      <c r="H6">
        <v>799804.04000000644</v>
      </c>
      <c r="I6">
        <v>396207.2700000031</v>
      </c>
      <c r="J6">
        <v>852941.96000000439</v>
      </c>
      <c r="K6">
        <v>95399.020000000033</v>
      </c>
      <c r="L6">
        <v>728754.58999999939</v>
      </c>
      <c r="M6">
        <v>737616.23000000173</v>
      </c>
      <c r="N6">
        <v>403735.89</v>
      </c>
      <c r="O6">
        <v>646764.12</v>
      </c>
      <c r="P6">
        <v>40613.840000000033</v>
      </c>
      <c r="Q6">
        <v>1001959.909999988</v>
      </c>
      <c r="R6" s="2">
        <v>0.24028888925494263</v>
      </c>
      <c r="T6">
        <f t="shared" si="0"/>
        <v>11940312.008999998</v>
      </c>
      <c r="U6">
        <f t="shared" si="1"/>
        <v>2869124.310000062</v>
      </c>
    </row>
    <row r="7" spans="1:23" x14ac:dyDescent="0.15">
      <c r="A7" t="s">
        <v>18</v>
      </c>
      <c r="B7" t="s">
        <v>24</v>
      </c>
      <c r="C7">
        <v>4656205.3499999959</v>
      </c>
      <c r="D7">
        <v>1866683.2193000279</v>
      </c>
      <c r="E7">
        <v>1866683.2193000279</v>
      </c>
      <c r="F7">
        <v>692444.22000000242</v>
      </c>
      <c r="G7">
        <v>559129.52999999991</v>
      </c>
      <c r="H7">
        <v>488466.71999999898</v>
      </c>
      <c r="I7">
        <v>268495.45000000013</v>
      </c>
      <c r="J7">
        <v>2652804.980000006</v>
      </c>
      <c r="K7">
        <v>583331.72</v>
      </c>
      <c r="L7">
        <v>273336.92999999959</v>
      </c>
      <c r="M7">
        <v>605391.02999999991</v>
      </c>
      <c r="N7">
        <v>441832.72999999992</v>
      </c>
      <c r="O7">
        <v>0</v>
      </c>
      <c r="P7">
        <v>2178995.19</v>
      </c>
      <c r="Q7">
        <v>382559.9300000004</v>
      </c>
      <c r="R7" s="2">
        <v>0.24145177726774161</v>
      </c>
      <c r="T7">
        <f t="shared" si="0"/>
        <v>19284204.086999997</v>
      </c>
      <c r="U7">
        <f t="shared" si="1"/>
        <v>4656205.3499999959</v>
      </c>
    </row>
    <row r="8" spans="1:23" x14ac:dyDescent="0.15">
      <c r="A8" t="s">
        <v>18</v>
      </c>
      <c r="B8" t="s">
        <v>25</v>
      </c>
      <c r="C8">
        <v>1136071.1200000001</v>
      </c>
      <c r="D8">
        <v>546578.2112999931</v>
      </c>
      <c r="E8">
        <v>546578.2112999931</v>
      </c>
      <c r="F8">
        <v>349532.65000000101</v>
      </c>
      <c r="G8">
        <v>154392.32000000001</v>
      </c>
      <c r="H8">
        <v>100776.16</v>
      </c>
      <c r="I8">
        <v>185434.2100000004</v>
      </c>
      <c r="J8">
        <v>345412.68999999989</v>
      </c>
      <c r="K8">
        <v>518134.78999999817</v>
      </c>
      <c r="L8">
        <v>144026.7799999998</v>
      </c>
      <c r="M8">
        <v>230893.57</v>
      </c>
      <c r="N8">
        <v>186226.22</v>
      </c>
      <c r="O8">
        <v>0</v>
      </c>
      <c r="P8">
        <v>121044.22</v>
      </c>
      <c r="Q8">
        <v>339133.50000000058</v>
      </c>
      <c r="R8" s="2">
        <v>5.4107805715117592E-2</v>
      </c>
      <c r="T8">
        <f t="shared" si="0"/>
        <v>20996436.742999993</v>
      </c>
      <c r="U8">
        <f t="shared" si="1"/>
        <v>1136071.1200000001</v>
      </c>
    </row>
    <row r="9" spans="1:23" x14ac:dyDescent="0.15">
      <c r="A9" t="s">
        <v>18</v>
      </c>
      <c r="B9" t="s">
        <v>26</v>
      </c>
      <c r="C9">
        <v>861271.87999999977</v>
      </c>
      <c r="D9">
        <v>154641.8469999987</v>
      </c>
      <c r="E9">
        <v>154641.8469999987</v>
      </c>
      <c r="F9">
        <v>410977.84999999969</v>
      </c>
      <c r="G9">
        <v>324952.92</v>
      </c>
      <c r="H9">
        <v>26343.47</v>
      </c>
      <c r="I9">
        <v>19486.740000000002</v>
      </c>
      <c r="J9">
        <v>80497.219999999943</v>
      </c>
      <c r="K9">
        <v>134416.35000000041</v>
      </c>
      <c r="L9">
        <v>353319.42999999982</v>
      </c>
      <c r="M9">
        <v>409862.40999999992</v>
      </c>
      <c r="N9">
        <v>99214.359999999986</v>
      </c>
      <c r="O9">
        <v>0</v>
      </c>
      <c r="P9">
        <v>124238.17</v>
      </c>
      <c r="Q9">
        <v>161282.60000000021</v>
      </c>
      <c r="R9" s="2">
        <v>8.2749947453196651E-2</v>
      </c>
      <c r="T9">
        <f t="shared" si="0"/>
        <v>10408126.005000003</v>
      </c>
      <c r="U9">
        <f t="shared" si="1"/>
        <v>861271.87999999977</v>
      </c>
    </row>
    <row r="10" spans="1:23" x14ac:dyDescent="0.15">
      <c r="A10" t="s">
        <v>18</v>
      </c>
      <c r="B10" t="s">
        <v>27</v>
      </c>
      <c r="C10">
        <v>425857.66</v>
      </c>
      <c r="D10">
        <v>271346.75990000012</v>
      </c>
      <c r="E10">
        <v>271346.75990000012</v>
      </c>
      <c r="F10">
        <v>96491.860000000102</v>
      </c>
      <c r="G10">
        <v>24606.240000000009</v>
      </c>
      <c r="H10">
        <v>25644.74</v>
      </c>
      <c r="I10">
        <v>53859.460000000028</v>
      </c>
      <c r="J10">
        <v>227670.19999999981</v>
      </c>
      <c r="K10">
        <v>235730.48999999979</v>
      </c>
      <c r="L10">
        <v>81641.00999999982</v>
      </c>
      <c r="M10">
        <v>30572.19</v>
      </c>
      <c r="N10">
        <v>3039.53</v>
      </c>
      <c r="O10">
        <v>0</v>
      </c>
      <c r="P10">
        <v>11014.78</v>
      </c>
      <c r="Q10">
        <v>53759.57</v>
      </c>
      <c r="R10" s="2">
        <v>6.1611516417327074E-2</v>
      </c>
      <c r="T10">
        <f t="shared" si="0"/>
        <v>6911981.4729999984</v>
      </c>
      <c r="U10">
        <f t="shared" si="1"/>
        <v>425857.66</v>
      </c>
    </row>
    <row r="11" spans="1:23" x14ac:dyDescent="0.15">
      <c r="A11" t="s">
        <v>18</v>
      </c>
      <c r="B11" t="s">
        <v>28</v>
      </c>
      <c r="C11">
        <v>2746693.5200000601</v>
      </c>
      <c r="D11">
        <v>1354137.1130000141</v>
      </c>
      <c r="E11">
        <v>1354137.1130000141</v>
      </c>
      <c r="F11">
        <v>762455.20999999368</v>
      </c>
      <c r="G11">
        <v>637577.81000000029</v>
      </c>
      <c r="H11">
        <v>145532.68000000011</v>
      </c>
      <c r="I11">
        <v>268911.50000000012</v>
      </c>
      <c r="J11">
        <v>895365.69999999891</v>
      </c>
      <c r="K11">
        <v>1285625.980000003</v>
      </c>
      <c r="L11">
        <v>76970.360000000335</v>
      </c>
      <c r="M11">
        <v>200761.58</v>
      </c>
      <c r="N11">
        <v>767241.42999999993</v>
      </c>
      <c r="O11">
        <v>25250</v>
      </c>
      <c r="P11">
        <v>167791.12</v>
      </c>
      <c r="Q11">
        <v>386882.85999999818</v>
      </c>
      <c r="R11" s="2">
        <v>6.0971170919945271E-2</v>
      </c>
      <c r="T11">
        <f t="shared" si="0"/>
        <v>45049053.159999989</v>
      </c>
      <c r="U11">
        <f t="shared" si="1"/>
        <v>2746693.5200000601</v>
      </c>
    </row>
    <row r="12" spans="1:23" x14ac:dyDescent="0.15">
      <c r="A12" t="s">
        <v>29</v>
      </c>
      <c r="B12" t="s">
        <v>19</v>
      </c>
      <c r="C12">
        <v>1997533.35</v>
      </c>
      <c r="D12">
        <v>816436.27220000001</v>
      </c>
      <c r="E12">
        <v>42863.329099984257</v>
      </c>
      <c r="F12">
        <v>583009.35</v>
      </c>
      <c r="G12">
        <v>408974.37</v>
      </c>
      <c r="H12">
        <v>217003.14</v>
      </c>
      <c r="I12">
        <v>108532.78</v>
      </c>
      <c r="J12">
        <v>683589.24</v>
      </c>
      <c r="K12">
        <v>574794.44999999995</v>
      </c>
      <c r="L12">
        <v>375209.76</v>
      </c>
      <c r="M12">
        <v>431655.92</v>
      </c>
      <c r="N12">
        <v>322679.46000000002</v>
      </c>
      <c r="O12">
        <v>37400</v>
      </c>
      <c r="P12">
        <v>204600.38</v>
      </c>
      <c r="Q12">
        <v>255046.36</v>
      </c>
      <c r="R12" s="2">
        <v>0.12627675003844613</v>
      </c>
      <c r="T12">
        <f>SUM(T2:T11)</f>
        <v>345035648.72199994</v>
      </c>
      <c r="U12">
        <f>SUM(U2:U11)</f>
        <v>59183911.960000142</v>
      </c>
      <c r="W12" s="3">
        <f>U12/T12</f>
        <v>0.17152984678312314</v>
      </c>
    </row>
    <row r="13" spans="1:23" x14ac:dyDescent="0.15">
      <c r="A13" t="s">
        <v>29</v>
      </c>
      <c r="B13" t="s">
        <v>20</v>
      </c>
      <c r="C13">
        <v>1546967.45</v>
      </c>
      <c r="D13">
        <v>536848.51520000002</v>
      </c>
      <c r="E13">
        <v>23461.205600000801</v>
      </c>
      <c r="F13">
        <v>510136.41</v>
      </c>
      <c r="G13">
        <v>310538.21999999997</v>
      </c>
      <c r="H13">
        <v>219054.17</v>
      </c>
      <c r="I13">
        <v>64832.29</v>
      </c>
      <c r="J13">
        <v>450138.06</v>
      </c>
      <c r="K13">
        <v>601656.99</v>
      </c>
      <c r="L13">
        <v>102363.72</v>
      </c>
      <c r="M13">
        <v>151293.26999999999</v>
      </c>
      <c r="N13">
        <v>108610.07</v>
      </c>
      <c r="O13">
        <v>0</v>
      </c>
      <c r="P13">
        <v>228483.86</v>
      </c>
      <c r="Q13">
        <v>179687.77</v>
      </c>
      <c r="R13" s="2">
        <v>6.2461992783586599E-2</v>
      </c>
      <c r="T13">
        <f>C13/R13</f>
        <v>24766540.116</v>
      </c>
      <c r="U13">
        <f>C13</f>
        <v>1546967.45</v>
      </c>
    </row>
    <row r="14" spans="1:23" x14ac:dyDescent="0.15">
      <c r="A14" t="s">
        <v>29</v>
      </c>
      <c r="B14" t="s">
        <v>21</v>
      </c>
      <c r="C14">
        <v>60514831.039999999</v>
      </c>
      <c r="D14">
        <v>3754995.6405000002</v>
      </c>
      <c r="E14">
        <v>1391899.6880000001</v>
      </c>
      <c r="F14">
        <v>21996528.809999999</v>
      </c>
      <c r="G14">
        <v>22600187.73</v>
      </c>
      <c r="H14">
        <v>12698625.119999999</v>
      </c>
      <c r="I14">
        <v>3094437.03</v>
      </c>
      <c r="J14">
        <v>125052.35</v>
      </c>
      <c r="K14">
        <v>248.64</v>
      </c>
      <c r="L14">
        <v>189.02</v>
      </c>
      <c r="M14">
        <v>455522.26</v>
      </c>
      <c r="N14">
        <v>1349.99</v>
      </c>
      <c r="O14">
        <v>60054910.149999999</v>
      </c>
      <c r="P14">
        <v>0</v>
      </c>
      <c r="Q14">
        <v>0</v>
      </c>
      <c r="R14" s="2">
        <v>0.265487314580032</v>
      </c>
      <c r="T14">
        <f t="shared" ref="T14:T22" si="2">C14/R14</f>
        <v>227938691.292</v>
      </c>
      <c r="U14">
        <f t="shared" ref="U14:U23" si="3">C14</f>
        <v>60514831.039999999</v>
      </c>
    </row>
    <row r="15" spans="1:23" x14ac:dyDescent="0.15">
      <c r="A15" t="s">
        <v>29</v>
      </c>
      <c r="B15" t="s">
        <v>22</v>
      </c>
      <c r="C15">
        <v>5487416.54</v>
      </c>
      <c r="D15">
        <v>728210.07940000005</v>
      </c>
      <c r="E15">
        <v>135121.79879996221</v>
      </c>
      <c r="F15">
        <v>2387753.81</v>
      </c>
      <c r="G15">
        <v>1293280.32</v>
      </c>
      <c r="H15">
        <v>1003609.07</v>
      </c>
      <c r="I15">
        <v>449558.28</v>
      </c>
      <c r="J15">
        <v>349433.85</v>
      </c>
      <c r="K15">
        <v>713583.35</v>
      </c>
      <c r="L15">
        <v>358904.77</v>
      </c>
      <c r="M15">
        <v>1812480.21</v>
      </c>
      <c r="N15">
        <v>921153.9</v>
      </c>
      <c r="O15">
        <v>0</v>
      </c>
      <c r="P15">
        <v>839868.77</v>
      </c>
      <c r="Q15">
        <v>1689428.22</v>
      </c>
      <c r="R15" s="2">
        <v>0.15550777833546206</v>
      </c>
      <c r="T15">
        <f t="shared" si="2"/>
        <v>35287087.235999994</v>
      </c>
      <c r="U15">
        <f t="shared" si="3"/>
        <v>5487416.54</v>
      </c>
    </row>
    <row r="16" spans="1:23" x14ac:dyDescent="0.15">
      <c r="A16" t="s">
        <v>29</v>
      </c>
      <c r="B16" t="s">
        <v>23</v>
      </c>
      <c r="C16">
        <v>2277154.7599999998</v>
      </c>
      <c r="D16">
        <v>772086.63140000007</v>
      </c>
      <c r="E16">
        <v>63246.225499976194</v>
      </c>
      <c r="F16">
        <v>431298.74</v>
      </c>
      <c r="G16">
        <v>301202.78000000003</v>
      </c>
      <c r="H16">
        <v>238699.3</v>
      </c>
      <c r="I16">
        <v>399871.25</v>
      </c>
      <c r="J16">
        <v>901866.2</v>
      </c>
      <c r="K16">
        <v>92790.89</v>
      </c>
      <c r="L16">
        <v>500676.35</v>
      </c>
      <c r="M16">
        <v>753859.43</v>
      </c>
      <c r="N16">
        <v>441967.77</v>
      </c>
      <c r="O16">
        <v>265719.12</v>
      </c>
      <c r="P16">
        <v>40522.149999999987</v>
      </c>
      <c r="Q16">
        <v>181301.97</v>
      </c>
      <c r="R16" s="2">
        <v>0.29179480380413719</v>
      </c>
      <c r="T16">
        <f t="shared" si="2"/>
        <v>7803959.2559999973</v>
      </c>
      <c r="U16">
        <f t="shared" si="3"/>
        <v>2277154.7599999998</v>
      </c>
    </row>
    <row r="17" spans="1:23" x14ac:dyDescent="0.15">
      <c r="A17" t="s">
        <v>29</v>
      </c>
      <c r="B17" t="s">
        <v>24</v>
      </c>
      <c r="C17">
        <v>5014822.18</v>
      </c>
      <c r="D17">
        <v>1891569.4175</v>
      </c>
      <c r="E17">
        <v>24886.198199972041</v>
      </c>
      <c r="F17">
        <v>737020.73</v>
      </c>
      <c r="G17">
        <v>788294.04999999993</v>
      </c>
      <c r="H17">
        <v>520307.62</v>
      </c>
      <c r="I17">
        <v>302811.74</v>
      </c>
      <c r="J17">
        <v>2674675.86</v>
      </c>
      <c r="K17">
        <v>590668.86</v>
      </c>
      <c r="L17">
        <v>320168.09999999998</v>
      </c>
      <c r="M17">
        <v>716464.37</v>
      </c>
      <c r="N17">
        <v>464899.71</v>
      </c>
      <c r="O17">
        <v>0</v>
      </c>
      <c r="P17">
        <v>2277101.7999999998</v>
      </c>
      <c r="Q17">
        <v>346187.14</v>
      </c>
      <c r="R17" s="2">
        <v>0.2873610117781849</v>
      </c>
      <c r="T17">
        <f t="shared" si="2"/>
        <v>17451296.364</v>
      </c>
      <c r="U17">
        <f t="shared" si="3"/>
        <v>5014822.18</v>
      </c>
    </row>
    <row r="18" spans="1:23" x14ac:dyDescent="0.15">
      <c r="A18" t="s">
        <v>29</v>
      </c>
      <c r="B18" t="s">
        <v>25</v>
      </c>
      <c r="C18">
        <v>1440370.65</v>
      </c>
      <c r="D18">
        <v>574440.54319999996</v>
      </c>
      <c r="E18">
        <v>27862.331900006859</v>
      </c>
      <c r="F18">
        <v>641251.15</v>
      </c>
      <c r="G18">
        <v>163513.51999999999</v>
      </c>
      <c r="H18">
        <v>107023.42</v>
      </c>
      <c r="I18">
        <v>176487.47</v>
      </c>
      <c r="J18">
        <v>366632.18</v>
      </c>
      <c r="K18">
        <v>533370.61</v>
      </c>
      <c r="L18">
        <v>135626.91</v>
      </c>
      <c r="M18">
        <v>230977.02</v>
      </c>
      <c r="N18">
        <v>195622.58</v>
      </c>
      <c r="O18">
        <v>0</v>
      </c>
      <c r="P18">
        <v>125143.79</v>
      </c>
      <c r="Q18">
        <v>311736.56</v>
      </c>
      <c r="R18" s="2">
        <v>6.9341000173291714E-2</v>
      </c>
      <c r="T18">
        <f t="shared" si="2"/>
        <v>20772279.695999999</v>
      </c>
      <c r="U18">
        <f t="shared" si="3"/>
        <v>1440370.65</v>
      </c>
    </row>
    <row r="19" spans="1:23" x14ac:dyDescent="0.15">
      <c r="A19" t="s">
        <v>29</v>
      </c>
      <c r="B19" t="s">
        <v>26</v>
      </c>
      <c r="C19">
        <v>1137129.9099999999</v>
      </c>
      <c r="D19">
        <v>211016.7341</v>
      </c>
      <c r="E19">
        <v>56374.887100001302</v>
      </c>
      <c r="F19">
        <v>436337.48</v>
      </c>
      <c r="G19">
        <v>547998.42000000004</v>
      </c>
      <c r="H19">
        <v>55255.400000000009</v>
      </c>
      <c r="I19">
        <v>18095.05</v>
      </c>
      <c r="J19">
        <v>84687.62</v>
      </c>
      <c r="K19">
        <v>135863.34</v>
      </c>
      <c r="L19">
        <v>593159.25</v>
      </c>
      <c r="M19">
        <v>659809.79</v>
      </c>
      <c r="N19">
        <v>103185.53</v>
      </c>
      <c r="O19">
        <v>0</v>
      </c>
      <c r="P19">
        <v>131636.89000000001</v>
      </c>
      <c r="Q19">
        <v>146203.13</v>
      </c>
      <c r="R19" s="2">
        <v>0.10550148219365357</v>
      </c>
      <c r="T19">
        <f t="shared" si="2"/>
        <v>10778331.131999999</v>
      </c>
      <c r="U19">
        <f t="shared" si="3"/>
        <v>1137129.9099999999</v>
      </c>
    </row>
    <row r="20" spans="1:23" x14ac:dyDescent="0.15">
      <c r="A20" t="s">
        <v>29</v>
      </c>
      <c r="B20" t="s">
        <v>27</v>
      </c>
      <c r="C20">
        <v>483561.3</v>
      </c>
      <c r="D20">
        <v>286427.22499999998</v>
      </c>
      <c r="E20">
        <v>15080.465099999859</v>
      </c>
      <c r="F20">
        <v>109326.23</v>
      </c>
      <c r="G20">
        <v>60742.03</v>
      </c>
      <c r="H20">
        <v>27603.040000000001</v>
      </c>
      <c r="I20">
        <v>52165.9</v>
      </c>
      <c r="J20">
        <v>236727.16</v>
      </c>
      <c r="K20">
        <v>242984.32000000001</v>
      </c>
      <c r="L20">
        <v>84189.81</v>
      </c>
      <c r="M20">
        <v>29538.86</v>
      </c>
      <c r="N20">
        <v>3887.09</v>
      </c>
      <c r="O20">
        <v>0</v>
      </c>
      <c r="P20">
        <v>32657.78</v>
      </c>
      <c r="Q20">
        <v>46251.05</v>
      </c>
      <c r="R20" s="2">
        <v>7.5131234006859879E-2</v>
      </c>
      <c r="T20">
        <f t="shared" si="2"/>
        <v>6436221.9840000002</v>
      </c>
      <c r="U20">
        <f t="shared" si="3"/>
        <v>483561.3</v>
      </c>
    </row>
    <row r="21" spans="1:23" x14ac:dyDescent="0.15">
      <c r="A21" t="s">
        <v>29</v>
      </c>
      <c r="B21" t="s">
        <v>28</v>
      </c>
      <c r="C21">
        <v>3370635.96</v>
      </c>
      <c r="D21">
        <v>1670170.317</v>
      </c>
      <c r="E21">
        <v>316033.20399998588</v>
      </c>
      <c r="F21">
        <v>983167.01</v>
      </c>
      <c r="G21">
        <v>740196.72</v>
      </c>
      <c r="H21">
        <v>405257.7</v>
      </c>
      <c r="I21">
        <v>191801.51</v>
      </c>
      <c r="J21">
        <v>1019903.63</v>
      </c>
      <c r="K21">
        <v>1337647.53</v>
      </c>
      <c r="L21">
        <v>83193.240000000005</v>
      </c>
      <c r="M21">
        <v>323219.7</v>
      </c>
      <c r="N21">
        <v>1023204.79</v>
      </c>
      <c r="O21">
        <v>50500</v>
      </c>
      <c r="P21">
        <v>332411.25</v>
      </c>
      <c r="Q21">
        <v>374387.16</v>
      </c>
      <c r="R21" s="2">
        <v>7.6246457150909011E-2</v>
      </c>
      <c r="T21">
        <f t="shared" si="2"/>
        <v>44207115.791999988</v>
      </c>
      <c r="U21">
        <f t="shared" si="3"/>
        <v>3370635.96</v>
      </c>
    </row>
    <row r="22" spans="1:23" x14ac:dyDescent="0.15">
      <c r="A22" t="s">
        <v>30</v>
      </c>
      <c r="B22" t="s">
        <v>19</v>
      </c>
      <c r="C22">
        <v>2542878.87</v>
      </c>
      <c r="D22">
        <v>858078.32530000003</v>
      </c>
      <c r="E22">
        <v>84505.382199984277</v>
      </c>
      <c r="F22">
        <v>838159.64</v>
      </c>
      <c r="G22">
        <v>628649.02</v>
      </c>
      <c r="H22">
        <v>206877.35</v>
      </c>
      <c r="I22">
        <v>152447.82</v>
      </c>
      <c r="J22">
        <v>707621.32</v>
      </c>
      <c r="K22">
        <v>583816.4</v>
      </c>
      <c r="L22">
        <v>452225.71</v>
      </c>
      <c r="M22">
        <v>526193.51</v>
      </c>
      <c r="N22">
        <v>419685.02</v>
      </c>
      <c r="O22">
        <v>39900</v>
      </c>
      <c r="P22">
        <v>202790.38</v>
      </c>
      <c r="Q22">
        <v>443284.78</v>
      </c>
      <c r="R22" s="2">
        <v>0.15157642180429878</v>
      </c>
      <c r="T22">
        <f t="shared" si="2"/>
        <v>16776216.509999992</v>
      </c>
      <c r="U22">
        <f t="shared" si="3"/>
        <v>2542878.87</v>
      </c>
    </row>
    <row r="23" spans="1:23" x14ac:dyDescent="0.15">
      <c r="A23" t="s">
        <v>30</v>
      </c>
      <c r="B23" t="s">
        <v>20</v>
      </c>
      <c r="C23">
        <v>2018331.97</v>
      </c>
      <c r="D23">
        <v>581058.91700000002</v>
      </c>
      <c r="E23">
        <v>67671.607400000794</v>
      </c>
      <c r="F23">
        <v>737228.12</v>
      </c>
      <c r="G23">
        <v>458092.02</v>
      </c>
      <c r="H23">
        <v>296982.36</v>
      </c>
      <c r="I23">
        <v>64200.78</v>
      </c>
      <c r="J23">
        <v>459390.05</v>
      </c>
      <c r="K23">
        <v>637299.64</v>
      </c>
      <c r="L23">
        <v>103300.86</v>
      </c>
      <c r="M23">
        <v>163539.57</v>
      </c>
      <c r="N23">
        <v>113122.43</v>
      </c>
      <c r="O23">
        <v>0</v>
      </c>
      <c r="P23">
        <v>254707.47</v>
      </c>
      <c r="Q23">
        <v>243243.49</v>
      </c>
      <c r="R23" s="2">
        <v>7.9026047139196379E-2</v>
      </c>
      <c r="T23">
        <f>SUM(T13:T22)</f>
        <v>412217739.37800002</v>
      </c>
      <c r="U23">
        <f>SUM(U13:U22)</f>
        <v>83815768.659999996</v>
      </c>
      <c r="W23" s="3">
        <f>U23/T23</f>
        <v>0.20332887368328822</v>
      </c>
    </row>
    <row r="24" spans="1:23" x14ac:dyDescent="0.15">
      <c r="A24" t="s">
        <v>30</v>
      </c>
      <c r="B24" t="s">
        <v>21</v>
      </c>
      <c r="C24">
        <v>82019610.049999997</v>
      </c>
      <c r="D24">
        <v>5937962.3857000005</v>
      </c>
      <c r="E24">
        <v>3574866.4331999999</v>
      </c>
      <c r="F24">
        <v>21505008.649999999</v>
      </c>
      <c r="G24">
        <v>38091908.520000003</v>
      </c>
      <c r="H24">
        <v>16382511.380000001</v>
      </c>
      <c r="I24">
        <v>5695535.8799999999</v>
      </c>
      <c r="J24">
        <v>344645.62</v>
      </c>
      <c r="K24">
        <v>50.1</v>
      </c>
      <c r="L24">
        <v>252.02</v>
      </c>
      <c r="M24">
        <v>533318.57999999996</v>
      </c>
      <c r="N24">
        <v>1385.19</v>
      </c>
      <c r="O24">
        <v>81481656.180000007</v>
      </c>
      <c r="P24">
        <v>0</v>
      </c>
      <c r="Q24">
        <v>0</v>
      </c>
      <c r="R24" s="2">
        <v>0.36260134720117271</v>
      </c>
      <c r="T24">
        <f>C24/R24</f>
        <v>226197753.21599999</v>
      </c>
      <c r="U24">
        <f>C24</f>
        <v>82019610.049999997</v>
      </c>
    </row>
    <row r="25" spans="1:23" x14ac:dyDescent="0.15">
      <c r="A25" t="s">
        <v>30</v>
      </c>
      <c r="B25" t="s">
        <v>22</v>
      </c>
      <c r="C25">
        <v>6214199.8799999999</v>
      </c>
      <c r="D25">
        <v>842938.34779999999</v>
      </c>
      <c r="E25">
        <v>249850.0671999621</v>
      </c>
      <c r="F25">
        <v>2461794.64</v>
      </c>
      <c r="G25">
        <v>1711072.41</v>
      </c>
      <c r="H25">
        <v>904692.63</v>
      </c>
      <c r="I25">
        <v>646861.31000000006</v>
      </c>
      <c r="J25">
        <v>383490.21</v>
      </c>
      <c r="K25">
        <v>684302.48</v>
      </c>
      <c r="L25">
        <v>395331.64</v>
      </c>
      <c r="M25">
        <v>2069247.31</v>
      </c>
      <c r="N25">
        <v>976212.2699999999</v>
      </c>
      <c r="O25">
        <v>0</v>
      </c>
      <c r="P25">
        <v>1154191.1399999999</v>
      </c>
      <c r="Q25">
        <v>1658409.48</v>
      </c>
      <c r="R25" s="2">
        <v>0.1758840007017515</v>
      </c>
      <c r="T25">
        <f t="shared" ref="T25:T33" si="4">C25/R25</f>
        <v>35331240.222000003</v>
      </c>
      <c r="U25">
        <f t="shared" ref="U25:U34" si="5">C25</f>
        <v>6214199.8799999999</v>
      </c>
    </row>
    <row r="26" spans="1:23" x14ac:dyDescent="0.15">
      <c r="A26" t="s">
        <v>30</v>
      </c>
      <c r="B26" t="s">
        <v>23</v>
      </c>
      <c r="C26">
        <v>2151788.4700000002</v>
      </c>
      <c r="D26">
        <v>752405.18320000009</v>
      </c>
      <c r="E26">
        <v>43564.777299976209</v>
      </c>
      <c r="F26">
        <v>455563.32</v>
      </c>
      <c r="G26">
        <v>273169.95</v>
      </c>
      <c r="H26">
        <v>135944.79</v>
      </c>
      <c r="I26">
        <v>301329.33</v>
      </c>
      <c r="J26">
        <v>959198.19</v>
      </c>
      <c r="K26">
        <v>98815.51</v>
      </c>
      <c r="L26">
        <v>543631.27</v>
      </c>
      <c r="M26">
        <v>767247.84</v>
      </c>
      <c r="N26">
        <v>429404.45</v>
      </c>
      <c r="O26">
        <v>4809.12</v>
      </c>
      <c r="P26">
        <v>75346.880000000005</v>
      </c>
      <c r="Q26">
        <v>430193.51</v>
      </c>
      <c r="R26" s="2">
        <v>0.25575235629314819</v>
      </c>
      <c r="T26">
        <f t="shared" si="4"/>
        <v>8413562.6399999987</v>
      </c>
      <c r="U26">
        <f t="shared" si="5"/>
        <v>2151788.4700000002</v>
      </c>
    </row>
    <row r="27" spans="1:23" x14ac:dyDescent="0.15">
      <c r="A27" t="s">
        <v>30</v>
      </c>
      <c r="B27" t="s">
        <v>24</v>
      </c>
      <c r="C27">
        <v>5631868.5099999998</v>
      </c>
      <c r="D27">
        <v>1871808.4125999999</v>
      </c>
      <c r="E27">
        <v>5125.1932999719866</v>
      </c>
      <c r="F27">
        <v>1146674.75</v>
      </c>
      <c r="G27">
        <v>780124</v>
      </c>
      <c r="H27">
        <v>497924.71</v>
      </c>
      <c r="I27">
        <v>295275.53000000003</v>
      </c>
      <c r="J27">
        <v>2558846.86</v>
      </c>
      <c r="K27">
        <v>607266.37</v>
      </c>
      <c r="L27">
        <v>359361.86</v>
      </c>
      <c r="M27">
        <v>753723.04</v>
      </c>
      <c r="N27">
        <v>451537.16</v>
      </c>
      <c r="O27">
        <v>0</v>
      </c>
      <c r="P27">
        <v>2730152.61</v>
      </c>
      <c r="Q27">
        <v>808694.51</v>
      </c>
      <c r="R27" s="2">
        <v>0.29069205210960725</v>
      </c>
      <c r="T27">
        <f t="shared" si="4"/>
        <v>19374002.382000003</v>
      </c>
      <c r="U27">
        <f t="shared" si="5"/>
        <v>5631868.5099999998</v>
      </c>
    </row>
    <row r="28" spans="1:23" x14ac:dyDescent="0.15">
      <c r="A28" t="s">
        <v>30</v>
      </c>
      <c r="B28" t="s">
        <v>25</v>
      </c>
      <c r="C28">
        <v>1567479.33</v>
      </c>
      <c r="D28">
        <v>629780.3602</v>
      </c>
      <c r="E28">
        <v>83202.148900006898</v>
      </c>
      <c r="F28">
        <v>435447.28</v>
      </c>
      <c r="G28">
        <v>448876.57000000012</v>
      </c>
      <c r="H28">
        <v>134899.91</v>
      </c>
      <c r="I28">
        <v>171054.51</v>
      </c>
      <c r="J28">
        <v>385336.18</v>
      </c>
      <c r="K28">
        <v>543499.25</v>
      </c>
      <c r="L28">
        <v>134266.01999999999</v>
      </c>
      <c r="M28">
        <v>233252.25</v>
      </c>
      <c r="N28">
        <v>205398.6</v>
      </c>
      <c r="O28">
        <v>0</v>
      </c>
      <c r="P28">
        <v>189743.94</v>
      </c>
      <c r="Q28">
        <v>287572.55</v>
      </c>
      <c r="R28" s="2">
        <v>7.8125559595717514E-2</v>
      </c>
      <c r="T28">
        <f t="shared" si="4"/>
        <v>20063591.712000001</v>
      </c>
      <c r="U28">
        <f t="shared" si="5"/>
        <v>1567479.33</v>
      </c>
    </row>
    <row r="29" spans="1:23" x14ac:dyDescent="0.15">
      <c r="A29" t="s">
        <v>30</v>
      </c>
      <c r="B29" t="s">
        <v>26</v>
      </c>
      <c r="C29">
        <v>1456378.62</v>
      </c>
      <c r="D29">
        <v>305766.1249</v>
      </c>
      <c r="E29">
        <v>151124.2779000013</v>
      </c>
      <c r="F29">
        <v>422661.58</v>
      </c>
      <c r="G29">
        <v>635941.28</v>
      </c>
      <c r="H29">
        <v>289239.63</v>
      </c>
      <c r="I29">
        <v>23312.400000000001</v>
      </c>
      <c r="J29">
        <v>87241.91</v>
      </c>
      <c r="K29">
        <v>138606.07</v>
      </c>
      <c r="L29">
        <v>840303.39999999991</v>
      </c>
      <c r="M29">
        <v>909360.86</v>
      </c>
      <c r="N29">
        <v>144459.82999999999</v>
      </c>
      <c r="O29">
        <v>0</v>
      </c>
      <c r="P29">
        <v>128724.25</v>
      </c>
      <c r="Q29">
        <v>395743.51</v>
      </c>
      <c r="R29" s="2">
        <v>0.13691292091552765</v>
      </c>
      <c r="T29">
        <f t="shared" si="4"/>
        <v>10637262.066</v>
      </c>
      <c r="U29">
        <f t="shared" si="5"/>
        <v>1456378.62</v>
      </c>
    </row>
    <row r="30" spans="1:23" x14ac:dyDescent="0.15">
      <c r="A30" t="s">
        <v>30</v>
      </c>
      <c r="B30" t="s">
        <v>27</v>
      </c>
      <c r="C30">
        <v>497854.12</v>
      </c>
      <c r="D30">
        <v>297282.10600000003</v>
      </c>
      <c r="E30">
        <v>25935.346099999912</v>
      </c>
      <c r="F30">
        <v>86230.18</v>
      </c>
      <c r="G30">
        <v>82609.399999999994</v>
      </c>
      <c r="H30">
        <v>29596.04</v>
      </c>
      <c r="I30">
        <v>52724.82</v>
      </c>
      <c r="J30">
        <v>244480.03</v>
      </c>
      <c r="K30">
        <v>249441.49</v>
      </c>
      <c r="L30">
        <v>81129.52</v>
      </c>
      <c r="M30">
        <v>25205.52</v>
      </c>
      <c r="N30">
        <v>2194.91</v>
      </c>
      <c r="O30">
        <v>0</v>
      </c>
      <c r="P30">
        <v>21652.78</v>
      </c>
      <c r="Q30">
        <v>66967.66</v>
      </c>
      <c r="R30" s="2">
        <v>7.9637882702440918E-2</v>
      </c>
      <c r="T30">
        <f t="shared" si="4"/>
        <v>6251473.5840000007</v>
      </c>
      <c r="U30">
        <f t="shared" si="5"/>
        <v>497854.12</v>
      </c>
    </row>
    <row r="31" spans="1:23" x14ac:dyDescent="0.15">
      <c r="A31" t="s">
        <v>30</v>
      </c>
      <c r="B31" t="s">
        <v>28</v>
      </c>
      <c r="C31">
        <v>4381830.8499999996</v>
      </c>
      <c r="D31">
        <v>1978364.0489000001</v>
      </c>
      <c r="E31">
        <v>624226.93589998595</v>
      </c>
      <c r="F31">
        <v>1401481.3</v>
      </c>
      <c r="G31">
        <v>946136.92</v>
      </c>
      <c r="H31">
        <v>664403.96000000008</v>
      </c>
      <c r="I31">
        <v>220941.34</v>
      </c>
      <c r="J31">
        <v>1038121.11</v>
      </c>
      <c r="K31">
        <v>1368746.75</v>
      </c>
      <c r="L31">
        <v>97781.32</v>
      </c>
      <c r="M31">
        <v>987957.5199999999</v>
      </c>
      <c r="N31">
        <v>1280967.47</v>
      </c>
      <c r="O31">
        <v>75750</v>
      </c>
      <c r="P31">
        <v>332778.11</v>
      </c>
      <c r="Q31">
        <v>563781.31000000006</v>
      </c>
      <c r="R31" s="2">
        <v>9.5372860912163751E-2</v>
      </c>
      <c r="T31">
        <f t="shared" si="4"/>
        <v>45944211.047999986</v>
      </c>
      <c r="U31">
        <f t="shared" si="5"/>
        <v>4381830.8499999996</v>
      </c>
    </row>
    <row r="32" spans="1:23" x14ac:dyDescent="0.15">
      <c r="A32" t="s">
        <v>31</v>
      </c>
      <c r="B32" t="s">
        <v>19</v>
      </c>
      <c r="C32">
        <v>2440735.7000000002</v>
      </c>
      <c r="D32">
        <v>876473.2023</v>
      </c>
      <c r="E32">
        <v>102900.2591999843</v>
      </c>
      <c r="F32">
        <v>682415.52</v>
      </c>
      <c r="G32">
        <v>691396.1</v>
      </c>
      <c r="H32">
        <v>176210.51</v>
      </c>
      <c r="I32">
        <v>126313.86</v>
      </c>
      <c r="J32">
        <v>724903.53</v>
      </c>
      <c r="K32">
        <v>601259.02</v>
      </c>
      <c r="L32">
        <v>356629.41</v>
      </c>
      <c r="M32">
        <v>395130.22</v>
      </c>
      <c r="N32">
        <v>401177.34</v>
      </c>
      <c r="O32">
        <v>42400</v>
      </c>
      <c r="P32">
        <v>206117.8</v>
      </c>
      <c r="Q32">
        <v>484995.65</v>
      </c>
      <c r="R32" s="2">
        <v>0.14008162673630514</v>
      </c>
      <c r="T32">
        <f t="shared" si="4"/>
        <v>17423667.591999996</v>
      </c>
      <c r="U32">
        <f t="shared" si="5"/>
        <v>2440735.7000000002</v>
      </c>
    </row>
    <row r="33" spans="1:23" x14ac:dyDescent="0.15">
      <c r="A33" t="s">
        <v>31</v>
      </c>
      <c r="B33" t="s">
        <v>20</v>
      </c>
      <c r="C33">
        <v>2252044.5099999998</v>
      </c>
      <c r="D33">
        <v>615212.11719999998</v>
      </c>
      <c r="E33">
        <v>101824.8076000008</v>
      </c>
      <c r="F33">
        <v>479349.08</v>
      </c>
      <c r="G33">
        <v>842336.52</v>
      </c>
      <c r="H33">
        <v>396044.53</v>
      </c>
      <c r="I33">
        <v>73694.28</v>
      </c>
      <c r="J33">
        <v>467070.35</v>
      </c>
      <c r="K33">
        <v>638881.98</v>
      </c>
      <c r="L33">
        <v>108082.76</v>
      </c>
      <c r="M33">
        <v>205371.34</v>
      </c>
      <c r="N33">
        <v>111031.77</v>
      </c>
      <c r="O33">
        <v>0</v>
      </c>
      <c r="P33">
        <v>329299.33</v>
      </c>
      <c r="Q33">
        <v>339979.43</v>
      </c>
      <c r="R33" s="2">
        <v>8.5153861577338452E-2</v>
      </c>
      <c r="T33">
        <f t="shared" si="4"/>
        <v>26446769.039999995</v>
      </c>
      <c r="U33">
        <f t="shared" si="5"/>
        <v>2252044.5099999998</v>
      </c>
    </row>
    <row r="34" spans="1:23" x14ac:dyDescent="0.15">
      <c r="A34" t="s">
        <v>31</v>
      </c>
      <c r="B34" t="s">
        <v>21</v>
      </c>
      <c r="C34">
        <v>104049834.43000001</v>
      </c>
      <c r="D34">
        <v>7525007.5029999996</v>
      </c>
      <c r="E34">
        <v>5161911.5504999999</v>
      </c>
      <c r="F34">
        <v>22030062.84</v>
      </c>
      <c r="G34">
        <v>33389469.359999999</v>
      </c>
      <c r="H34">
        <v>28111240.309999999</v>
      </c>
      <c r="I34">
        <v>9695961.5800000001</v>
      </c>
      <c r="J34">
        <v>711100.34</v>
      </c>
      <c r="K34">
        <v>212</v>
      </c>
      <c r="L34">
        <v>315.02</v>
      </c>
      <c r="M34">
        <v>611114.9</v>
      </c>
      <c r="N34">
        <v>1400.49</v>
      </c>
      <c r="O34">
        <v>103433507.04000001</v>
      </c>
      <c r="P34">
        <v>0</v>
      </c>
      <c r="Q34">
        <v>18072200.039999999</v>
      </c>
      <c r="R34" s="2">
        <v>0.45803620828507557</v>
      </c>
      <c r="T34">
        <f>SUM(T24:T33)</f>
        <v>416083533.50200003</v>
      </c>
      <c r="U34">
        <f>SUM(U24:U33)</f>
        <v>108613790.04000001</v>
      </c>
      <c r="W34" s="3">
        <f>U34/T34</f>
        <v>0.26103842448616854</v>
      </c>
    </row>
    <row r="35" spans="1:23" x14ac:dyDescent="0.15">
      <c r="A35" t="s">
        <v>31</v>
      </c>
      <c r="B35" t="s">
        <v>22</v>
      </c>
      <c r="C35">
        <v>6972526.3099999996</v>
      </c>
      <c r="D35">
        <v>940193.43150000006</v>
      </c>
      <c r="E35">
        <v>347105.15089996217</v>
      </c>
      <c r="F35">
        <v>2702454.66</v>
      </c>
      <c r="G35">
        <v>2102873.0499999998</v>
      </c>
      <c r="H35">
        <v>898954.32000000007</v>
      </c>
      <c r="I35">
        <v>835042.8</v>
      </c>
      <c r="J35">
        <v>385748.16</v>
      </c>
      <c r="K35">
        <v>654628.69999999995</v>
      </c>
      <c r="L35">
        <v>457109.42</v>
      </c>
      <c r="M35">
        <v>2445066.3199999998</v>
      </c>
      <c r="N35">
        <v>1222655.98</v>
      </c>
      <c r="O35">
        <v>0</v>
      </c>
      <c r="P35">
        <v>1176635.1399999999</v>
      </c>
      <c r="Q35">
        <v>1659173.34</v>
      </c>
      <c r="R35" s="2">
        <v>0.19002730857607025</v>
      </c>
      <c r="T35">
        <f>C35/R35</f>
        <v>36692233.143999994</v>
      </c>
      <c r="U35">
        <f>C35</f>
        <v>6972526.3099999996</v>
      </c>
    </row>
    <row r="36" spans="1:23" x14ac:dyDescent="0.15">
      <c r="A36" t="s">
        <v>31</v>
      </c>
      <c r="B36" t="s">
        <v>23</v>
      </c>
      <c r="C36">
        <v>2166561.48</v>
      </c>
      <c r="D36">
        <v>750321.08779999998</v>
      </c>
      <c r="E36">
        <v>41480.681899976102</v>
      </c>
      <c r="F36">
        <v>451558.47</v>
      </c>
      <c r="G36">
        <v>330603.86</v>
      </c>
      <c r="H36">
        <v>149771.06</v>
      </c>
      <c r="I36">
        <v>284257.09999999998</v>
      </c>
      <c r="J36">
        <v>945961.47</v>
      </c>
      <c r="K36">
        <v>90612.98</v>
      </c>
      <c r="L36">
        <v>534742.01</v>
      </c>
      <c r="M36">
        <v>663250</v>
      </c>
      <c r="N36">
        <v>429740.42</v>
      </c>
      <c r="O36">
        <v>135264.12</v>
      </c>
      <c r="P36">
        <v>15978.32</v>
      </c>
      <c r="Q36">
        <v>620359.38</v>
      </c>
      <c r="R36" s="2">
        <v>0.25618070068824583</v>
      </c>
      <c r="T36">
        <f t="shared" ref="T36:T44" si="6">C36/R36</f>
        <v>8457161.1919999979</v>
      </c>
      <c r="U36">
        <f t="shared" ref="U36:U45" si="7">C36</f>
        <v>2166561.48</v>
      </c>
    </row>
    <row r="37" spans="1:23" x14ac:dyDescent="0.15">
      <c r="A37" t="s">
        <v>31</v>
      </c>
      <c r="B37" t="s">
        <v>24</v>
      </c>
      <c r="C37">
        <v>6110818.9900000002</v>
      </c>
      <c r="D37">
        <v>2007353.8691</v>
      </c>
      <c r="E37">
        <v>140670.6497999721</v>
      </c>
      <c r="F37">
        <v>1310208.93</v>
      </c>
      <c r="G37">
        <v>1178926.47</v>
      </c>
      <c r="H37">
        <v>594574.65</v>
      </c>
      <c r="I37">
        <v>411589.21</v>
      </c>
      <c r="J37">
        <v>2587489.5099999998</v>
      </c>
      <c r="K37">
        <v>631544.48</v>
      </c>
      <c r="L37">
        <v>501717.88</v>
      </c>
      <c r="M37">
        <v>768992.65999999992</v>
      </c>
      <c r="N37">
        <v>566435.55000000005</v>
      </c>
      <c r="O37">
        <v>291400</v>
      </c>
      <c r="P37">
        <v>2866686.31</v>
      </c>
      <c r="Q37">
        <v>586230.69000000006</v>
      </c>
      <c r="R37" s="2">
        <v>0.28937079686388056</v>
      </c>
      <c r="T37">
        <f t="shared" si="6"/>
        <v>21117607.775999997</v>
      </c>
      <c r="U37">
        <f t="shared" si="7"/>
        <v>6110818.9900000002</v>
      </c>
    </row>
    <row r="38" spans="1:23" x14ac:dyDescent="0.15">
      <c r="A38" t="s">
        <v>31</v>
      </c>
      <c r="B38" t="s">
        <v>25</v>
      </c>
      <c r="C38">
        <v>1764686.82</v>
      </c>
      <c r="D38">
        <v>645345.02789999999</v>
      </c>
      <c r="E38">
        <v>98766.816600006889</v>
      </c>
      <c r="F38">
        <v>559015.48</v>
      </c>
      <c r="G38">
        <v>529281.57000000007</v>
      </c>
      <c r="H38">
        <v>70935.540000000008</v>
      </c>
      <c r="I38">
        <v>209743.94</v>
      </c>
      <c r="J38">
        <v>408356.53</v>
      </c>
      <c r="K38">
        <v>562397.53</v>
      </c>
      <c r="L38">
        <v>143451.29</v>
      </c>
      <c r="M38">
        <v>239032.21</v>
      </c>
      <c r="N38">
        <v>222779.98</v>
      </c>
      <c r="O38">
        <v>0</v>
      </c>
      <c r="P38">
        <v>153933.46</v>
      </c>
      <c r="Q38">
        <v>413388.47</v>
      </c>
      <c r="R38" s="2">
        <v>8.5366524802274274E-2</v>
      </c>
      <c r="T38">
        <f t="shared" si="6"/>
        <v>20671883.083999999</v>
      </c>
      <c r="U38">
        <f t="shared" si="7"/>
        <v>1764686.82</v>
      </c>
    </row>
    <row r="39" spans="1:23" x14ac:dyDescent="0.15">
      <c r="A39" t="s">
        <v>31</v>
      </c>
      <c r="B39" t="s">
        <v>26</v>
      </c>
      <c r="C39">
        <v>1498945.63</v>
      </c>
      <c r="D39">
        <v>377038.28220000002</v>
      </c>
      <c r="E39">
        <v>222396.43520000129</v>
      </c>
      <c r="F39">
        <v>434235.87</v>
      </c>
      <c r="G39">
        <v>600054.05000000005</v>
      </c>
      <c r="H39">
        <v>346091.11999999988</v>
      </c>
      <c r="I39">
        <v>31041.96</v>
      </c>
      <c r="J39">
        <v>89867.89</v>
      </c>
      <c r="K39">
        <v>142035.29</v>
      </c>
      <c r="L39">
        <v>1036077.34</v>
      </c>
      <c r="M39">
        <v>1141446.78</v>
      </c>
      <c r="N39">
        <v>86012.900000000009</v>
      </c>
      <c r="O39">
        <v>0</v>
      </c>
      <c r="P39">
        <v>14254.42</v>
      </c>
      <c r="Q39">
        <v>215015.4</v>
      </c>
      <c r="R39" s="2">
        <v>0.14362125175504253</v>
      </c>
      <c r="T39">
        <f t="shared" si="6"/>
        <v>10436795.471999999</v>
      </c>
      <c r="U39">
        <f t="shared" si="7"/>
        <v>1498945.63</v>
      </c>
    </row>
    <row r="40" spans="1:23" x14ac:dyDescent="0.15">
      <c r="A40" t="s">
        <v>31</v>
      </c>
      <c r="B40" t="s">
        <v>27</v>
      </c>
      <c r="C40">
        <v>586774.16</v>
      </c>
      <c r="D40">
        <v>311536.98910000001</v>
      </c>
      <c r="E40">
        <v>40190.229199999892</v>
      </c>
      <c r="F40">
        <v>134685.35</v>
      </c>
      <c r="G40">
        <v>87231.48</v>
      </c>
      <c r="H40">
        <v>59111.79</v>
      </c>
      <c r="I40">
        <v>52946.2</v>
      </c>
      <c r="J40">
        <v>253005.12</v>
      </c>
      <c r="K40">
        <v>278016.15000000002</v>
      </c>
      <c r="L40">
        <v>86299.28</v>
      </c>
      <c r="M40">
        <v>26038.85</v>
      </c>
      <c r="N40">
        <v>3042.47</v>
      </c>
      <c r="O40">
        <v>0</v>
      </c>
      <c r="P40">
        <v>54058.490000000013</v>
      </c>
      <c r="Q40">
        <v>54137.54</v>
      </c>
      <c r="R40" s="2">
        <v>8.7814847031461182E-2</v>
      </c>
      <c r="T40">
        <f t="shared" si="6"/>
        <v>6681947.0720000006</v>
      </c>
      <c r="U40">
        <f t="shared" si="7"/>
        <v>586774.16</v>
      </c>
    </row>
    <row r="41" spans="1:23" x14ac:dyDescent="0.15">
      <c r="A41" t="s">
        <v>31</v>
      </c>
      <c r="B41" t="s">
        <v>28</v>
      </c>
      <c r="C41">
        <v>4572382.9400000004</v>
      </c>
      <c r="D41">
        <v>1954356.6926</v>
      </c>
      <c r="E41">
        <v>600219.57959998585</v>
      </c>
      <c r="F41">
        <v>1157624.74</v>
      </c>
      <c r="G41">
        <v>1478246.84</v>
      </c>
      <c r="H41">
        <v>645346.27</v>
      </c>
      <c r="I41">
        <v>201574.94</v>
      </c>
      <c r="J41">
        <v>961505.95</v>
      </c>
      <c r="K41">
        <v>1354072.05</v>
      </c>
      <c r="L41">
        <v>121685.91</v>
      </c>
      <c r="M41">
        <v>965222.33</v>
      </c>
      <c r="N41">
        <v>1311446.42</v>
      </c>
      <c r="O41">
        <v>67750</v>
      </c>
      <c r="P41">
        <v>272473.32</v>
      </c>
      <c r="Q41">
        <v>825360.32</v>
      </c>
      <c r="R41" s="2">
        <v>9.579859102428151E-2</v>
      </c>
      <c r="T41">
        <f t="shared" si="6"/>
        <v>47729125.147999987</v>
      </c>
      <c r="U41">
        <f t="shared" si="7"/>
        <v>4572382.9400000004</v>
      </c>
    </row>
    <row r="42" spans="1:23" x14ac:dyDescent="0.15">
      <c r="A42" t="s">
        <v>32</v>
      </c>
      <c r="B42" t="s">
        <v>19</v>
      </c>
      <c r="C42">
        <v>2612121.2400000002</v>
      </c>
      <c r="D42">
        <v>910221.3456</v>
      </c>
      <c r="E42">
        <v>136648.40249998431</v>
      </c>
      <c r="F42">
        <v>653820.76</v>
      </c>
      <c r="G42">
        <v>865938.57000000007</v>
      </c>
      <c r="H42">
        <v>192076.34</v>
      </c>
      <c r="I42">
        <v>162062.13</v>
      </c>
      <c r="J42">
        <v>739222.42</v>
      </c>
      <c r="K42">
        <v>592599.43000000005</v>
      </c>
      <c r="L42">
        <v>354398.95</v>
      </c>
      <c r="M42">
        <v>403749.58</v>
      </c>
      <c r="N42">
        <v>418668.45</v>
      </c>
      <c r="O42">
        <v>44900</v>
      </c>
      <c r="P42">
        <v>260570.54</v>
      </c>
      <c r="Q42">
        <v>573870.64</v>
      </c>
      <c r="R42" s="2">
        <v>0.14944590319055365</v>
      </c>
      <c r="T42">
        <f t="shared" si="6"/>
        <v>17478707.573999997</v>
      </c>
      <c r="U42">
        <f t="shared" si="7"/>
        <v>2612121.2400000002</v>
      </c>
    </row>
    <row r="43" spans="1:23" x14ac:dyDescent="0.15">
      <c r="A43" t="s">
        <v>32</v>
      </c>
      <c r="B43" t="s">
        <v>20</v>
      </c>
      <c r="C43">
        <v>2720057.4</v>
      </c>
      <c r="D43">
        <v>660225.86360000004</v>
      </c>
      <c r="E43">
        <v>146838.55400000079</v>
      </c>
      <c r="F43">
        <v>803606.75</v>
      </c>
      <c r="G43">
        <v>810877.25</v>
      </c>
      <c r="H43">
        <v>405136.29</v>
      </c>
      <c r="I43">
        <v>231777.45</v>
      </c>
      <c r="J43">
        <v>473653.77</v>
      </c>
      <c r="K43">
        <v>658238.59</v>
      </c>
      <c r="L43">
        <v>107189.23</v>
      </c>
      <c r="M43">
        <v>172003.41</v>
      </c>
      <c r="N43">
        <v>111233.21</v>
      </c>
      <c r="O43">
        <v>0</v>
      </c>
      <c r="P43">
        <v>520070.45</v>
      </c>
      <c r="Q43">
        <v>295235.01</v>
      </c>
      <c r="R43" s="2">
        <v>9.9181821692203812E-2</v>
      </c>
      <c r="T43">
        <f t="shared" si="6"/>
        <v>27424959.065999996</v>
      </c>
      <c r="U43">
        <f t="shared" si="7"/>
        <v>2720057.4</v>
      </c>
    </row>
    <row r="44" spans="1:23" x14ac:dyDescent="0.15">
      <c r="A44" t="s">
        <v>32</v>
      </c>
      <c r="B44" t="s">
        <v>21</v>
      </c>
      <c r="C44">
        <v>107619828.37</v>
      </c>
      <c r="D44">
        <v>8613520.9381000008</v>
      </c>
      <c r="E44">
        <v>6250424.9856000002</v>
      </c>
      <c r="F44">
        <v>21642193.98</v>
      </c>
      <c r="G44">
        <v>42552054.549999997</v>
      </c>
      <c r="H44">
        <v>31998879.550000001</v>
      </c>
      <c r="I44">
        <v>11307570.48</v>
      </c>
      <c r="J44">
        <v>119129.81</v>
      </c>
      <c r="K44">
        <v>211.64</v>
      </c>
      <c r="L44">
        <v>378.02</v>
      </c>
      <c r="M44">
        <v>655577.9</v>
      </c>
      <c r="N44">
        <v>1415.49</v>
      </c>
      <c r="O44">
        <v>106958623.34</v>
      </c>
      <c r="P44">
        <v>0</v>
      </c>
      <c r="Q44">
        <v>4423138.03</v>
      </c>
      <c r="R44" s="2">
        <v>0.47396221716141346</v>
      </c>
      <c r="T44">
        <f t="shared" si="6"/>
        <v>227064150.83999997</v>
      </c>
      <c r="U44">
        <f t="shared" si="7"/>
        <v>107619828.37</v>
      </c>
    </row>
    <row r="45" spans="1:23" x14ac:dyDescent="0.15">
      <c r="A45" t="s">
        <v>32</v>
      </c>
      <c r="B45" t="s">
        <v>22</v>
      </c>
      <c r="C45">
        <v>8009229.4500000002</v>
      </c>
      <c r="D45">
        <v>1080803.683</v>
      </c>
      <c r="E45">
        <v>487715.40239996213</v>
      </c>
      <c r="F45">
        <v>2707501.63</v>
      </c>
      <c r="G45">
        <v>2546487.5299999998</v>
      </c>
      <c r="H45">
        <v>1359513.95</v>
      </c>
      <c r="I45">
        <v>980592.82000000007</v>
      </c>
      <c r="J45">
        <v>404653.3</v>
      </c>
      <c r="K45">
        <v>724187.57</v>
      </c>
      <c r="L45">
        <v>529522.56000000006</v>
      </c>
      <c r="M45">
        <v>2861236.74</v>
      </c>
      <c r="N45">
        <v>1371398.37</v>
      </c>
      <c r="O45">
        <v>0</v>
      </c>
      <c r="P45">
        <v>1336116.97</v>
      </c>
      <c r="Q45">
        <v>2329581.91</v>
      </c>
      <c r="R45" s="2">
        <v>0.21428806654997037</v>
      </c>
      <c r="T45">
        <f>SUM(T35:T44)</f>
        <v>423754570.36799991</v>
      </c>
      <c r="U45">
        <f>SUM(U35:U44)</f>
        <v>136624703.34</v>
      </c>
      <c r="W45" s="3">
        <f>U45/T45</f>
        <v>0.32241470156027208</v>
      </c>
    </row>
    <row r="46" spans="1:23" x14ac:dyDescent="0.15">
      <c r="A46" t="s">
        <v>32</v>
      </c>
      <c r="B46" t="s">
        <v>23</v>
      </c>
      <c r="C46">
        <v>2326768.7200000002</v>
      </c>
      <c r="D46">
        <v>725738.10639999993</v>
      </c>
      <c r="E46">
        <v>16897.70049997605</v>
      </c>
      <c r="F46">
        <v>678822.87</v>
      </c>
      <c r="G46">
        <v>431753.26</v>
      </c>
      <c r="H46">
        <v>74565.37</v>
      </c>
      <c r="I46">
        <v>174521.42</v>
      </c>
      <c r="J46">
        <v>897151.52999999991</v>
      </c>
      <c r="K46">
        <v>99749.440000000002</v>
      </c>
      <c r="L46">
        <v>301482.18</v>
      </c>
      <c r="M46">
        <v>776788.79999999993</v>
      </c>
      <c r="N46">
        <v>446923.16</v>
      </c>
      <c r="O46">
        <v>303165.32</v>
      </c>
      <c r="P46">
        <v>31726.07</v>
      </c>
      <c r="Q46">
        <v>700436.04999999993</v>
      </c>
      <c r="R46" s="2">
        <v>0.25620754535905249</v>
      </c>
      <c r="T46">
        <f>C46/R46</f>
        <v>9081577.659</v>
      </c>
      <c r="U46">
        <f>C46</f>
        <v>2326768.7200000002</v>
      </c>
    </row>
    <row r="47" spans="1:23" x14ac:dyDescent="0.15">
      <c r="A47" t="s">
        <v>32</v>
      </c>
      <c r="B47" t="s">
        <v>24</v>
      </c>
      <c r="C47">
        <v>6590891.4199999999</v>
      </c>
      <c r="D47">
        <v>2004324.6839999999</v>
      </c>
      <c r="E47">
        <v>137641.46469997201</v>
      </c>
      <c r="F47">
        <v>1063973.08</v>
      </c>
      <c r="G47">
        <v>1719193.1</v>
      </c>
      <c r="H47">
        <v>691504.32</v>
      </c>
      <c r="I47">
        <v>491448.99</v>
      </c>
      <c r="J47">
        <v>2631406.19</v>
      </c>
      <c r="K47">
        <v>656844.57999999996</v>
      </c>
      <c r="L47">
        <v>625644.13</v>
      </c>
      <c r="M47">
        <v>889547.45</v>
      </c>
      <c r="N47">
        <v>578923.59</v>
      </c>
      <c r="O47">
        <v>498600</v>
      </c>
      <c r="P47">
        <v>2763408.85</v>
      </c>
      <c r="Q47">
        <v>813252.62</v>
      </c>
      <c r="R47" s="2">
        <v>0.30763627449282388</v>
      </c>
      <c r="T47">
        <f t="shared" ref="T47:T55" si="8">C47/R47</f>
        <v>21424298.649</v>
      </c>
      <c r="U47">
        <f t="shared" ref="U47:U56" si="9">C47</f>
        <v>6590891.4199999999</v>
      </c>
    </row>
    <row r="48" spans="1:23" x14ac:dyDescent="0.15">
      <c r="A48" t="s">
        <v>32</v>
      </c>
      <c r="B48" t="s">
        <v>25</v>
      </c>
      <c r="C48">
        <v>2007902.99</v>
      </c>
      <c r="D48">
        <v>613247.65630000003</v>
      </c>
      <c r="E48">
        <v>66669.445000006934</v>
      </c>
      <c r="F48">
        <v>647167.01</v>
      </c>
      <c r="G48">
        <v>459033.26</v>
      </c>
      <c r="H48">
        <v>329399.78999999998</v>
      </c>
      <c r="I48">
        <v>149035.92000000001</v>
      </c>
      <c r="J48">
        <v>433373.9</v>
      </c>
      <c r="K48">
        <v>579247.11</v>
      </c>
      <c r="L48">
        <v>147956.32</v>
      </c>
      <c r="M48">
        <v>233061.99</v>
      </c>
      <c r="N48">
        <v>280363.77</v>
      </c>
      <c r="O48">
        <v>0</v>
      </c>
      <c r="P48">
        <v>116677.26</v>
      </c>
      <c r="Q48">
        <v>427282.28</v>
      </c>
      <c r="R48" s="2">
        <v>9.6196285344316193E-2</v>
      </c>
      <c r="T48">
        <f t="shared" si="8"/>
        <v>20872978.440000001</v>
      </c>
      <c r="U48">
        <f t="shared" si="9"/>
        <v>2007902.99</v>
      </c>
    </row>
    <row r="49" spans="1:23" x14ac:dyDescent="0.15">
      <c r="A49" t="s">
        <v>32</v>
      </c>
      <c r="B49" t="s">
        <v>26</v>
      </c>
      <c r="C49">
        <v>1722997.89</v>
      </c>
      <c r="D49">
        <v>470507.2942</v>
      </c>
      <c r="E49">
        <v>315865.44720000128</v>
      </c>
      <c r="F49">
        <v>435363.27</v>
      </c>
      <c r="G49">
        <v>576232.76</v>
      </c>
      <c r="H49">
        <v>582077.93999999994</v>
      </c>
      <c r="I49">
        <v>40045.07</v>
      </c>
      <c r="J49">
        <v>91554.12</v>
      </c>
      <c r="K49">
        <v>145372.54</v>
      </c>
      <c r="L49">
        <v>1239647.98</v>
      </c>
      <c r="M49">
        <v>1367344.9</v>
      </c>
      <c r="N49">
        <v>81662.01999999999</v>
      </c>
      <c r="O49">
        <v>0</v>
      </c>
      <c r="P49">
        <v>33434.589999999997</v>
      </c>
      <c r="Q49">
        <v>142395.81</v>
      </c>
      <c r="R49" s="2">
        <v>0.16643372808284954</v>
      </c>
      <c r="T49">
        <f t="shared" si="8"/>
        <v>10352456.259000001</v>
      </c>
      <c r="U49">
        <f t="shared" si="9"/>
        <v>1722997.89</v>
      </c>
    </row>
    <row r="50" spans="1:23" x14ac:dyDescent="0.15">
      <c r="A50" t="s">
        <v>32</v>
      </c>
      <c r="B50" t="s">
        <v>27</v>
      </c>
      <c r="C50">
        <v>678901.07</v>
      </c>
      <c r="D50">
        <v>334791.90299999999</v>
      </c>
      <c r="E50">
        <v>63445.14309999987</v>
      </c>
      <c r="F50">
        <v>143180.39000000001</v>
      </c>
      <c r="G50">
        <v>130661.27</v>
      </c>
      <c r="H50">
        <v>89335.040000000008</v>
      </c>
      <c r="I50">
        <v>52919.59</v>
      </c>
      <c r="J50">
        <v>261696.22</v>
      </c>
      <c r="K50">
        <v>306656.52</v>
      </c>
      <c r="L50">
        <v>89693.61</v>
      </c>
      <c r="M50">
        <v>30307.5</v>
      </c>
      <c r="N50">
        <v>3890.58</v>
      </c>
      <c r="O50">
        <v>0</v>
      </c>
      <c r="P50">
        <v>87736.49</v>
      </c>
      <c r="Q50">
        <v>137304.79999999999</v>
      </c>
      <c r="R50" s="2">
        <v>9.9635132127631865E-2</v>
      </c>
      <c r="T50">
        <f t="shared" si="8"/>
        <v>6813872.3310000002</v>
      </c>
      <c r="U50">
        <f t="shared" si="9"/>
        <v>678901.07</v>
      </c>
    </row>
    <row r="51" spans="1:23" x14ac:dyDescent="0.15">
      <c r="A51" t="s">
        <v>32</v>
      </c>
      <c r="B51" t="s">
        <v>28</v>
      </c>
      <c r="C51">
        <v>4690066.8499999996</v>
      </c>
      <c r="D51">
        <v>2085763.4007000001</v>
      </c>
      <c r="E51">
        <v>731626.28769998602</v>
      </c>
      <c r="F51">
        <v>955001.04</v>
      </c>
      <c r="G51">
        <v>1736534.63</v>
      </c>
      <c r="H51">
        <v>774906.51000000013</v>
      </c>
      <c r="I51">
        <v>202255.31</v>
      </c>
      <c r="J51">
        <v>977718.13</v>
      </c>
      <c r="K51">
        <v>1385159.81</v>
      </c>
      <c r="L51">
        <v>165302.19</v>
      </c>
      <c r="M51">
        <v>926694.22</v>
      </c>
      <c r="N51">
        <v>1311608.3400000001</v>
      </c>
      <c r="O51">
        <v>93000</v>
      </c>
      <c r="P51">
        <v>245610.87</v>
      </c>
      <c r="Q51">
        <v>588874.38</v>
      </c>
      <c r="R51" s="2">
        <v>9.834863687848576E-2</v>
      </c>
      <c r="T51">
        <f t="shared" si="8"/>
        <v>47688173.408999979</v>
      </c>
      <c r="U51">
        <f t="shared" si="9"/>
        <v>4690066.8499999996</v>
      </c>
    </row>
    <row r="52" spans="1:23" x14ac:dyDescent="0.15">
      <c r="A52" t="s">
        <v>33</v>
      </c>
      <c r="B52" t="s">
        <v>19</v>
      </c>
      <c r="C52">
        <v>2818405.65</v>
      </c>
      <c r="D52">
        <v>943351.66669999994</v>
      </c>
      <c r="E52">
        <v>169778.72359998419</v>
      </c>
      <c r="F52">
        <v>777732.2</v>
      </c>
      <c r="G52">
        <v>622178.43999999994</v>
      </c>
      <c r="H52">
        <v>468174.1</v>
      </c>
      <c r="I52">
        <v>193783.6</v>
      </c>
      <c r="J52">
        <v>753625.01</v>
      </c>
      <c r="K52">
        <v>615310.13</v>
      </c>
      <c r="L52">
        <v>330005.84000000003</v>
      </c>
      <c r="M52">
        <v>418334.89</v>
      </c>
      <c r="N52">
        <v>337549.15</v>
      </c>
      <c r="O52">
        <v>139600</v>
      </c>
      <c r="P52">
        <v>242887.66</v>
      </c>
      <c r="Q52">
        <v>491323.3</v>
      </c>
      <c r="R52" s="2">
        <v>0.15615105384535791</v>
      </c>
      <c r="T52">
        <f t="shared" si="8"/>
        <v>18049225.9296</v>
      </c>
      <c r="U52">
        <f t="shared" si="9"/>
        <v>2818405.65</v>
      </c>
    </row>
    <row r="53" spans="1:23" x14ac:dyDescent="0.15">
      <c r="A53" t="s">
        <v>33</v>
      </c>
      <c r="B53" t="s">
        <v>20</v>
      </c>
      <c r="C53">
        <v>2862275.5</v>
      </c>
      <c r="D53">
        <v>735994.28130000003</v>
      </c>
      <c r="E53">
        <v>222606.97170000081</v>
      </c>
      <c r="F53">
        <v>435706.46</v>
      </c>
      <c r="G53">
        <v>912579.14</v>
      </c>
      <c r="H53">
        <v>749660.14</v>
      </c>
      <c r="I53">
        <v>290428.89</v>
      </c>
      <c r="J53">
        <v>481092.82</v>
      </c>
      <c r="K53">
        <v>659136.72</v>
      </c>
      <c r="L53">
        <v>111887.03999999999</v>
      </c>
      <c r="M53">
        <v>184478.1</v>
      </c>
      <c r="N53">
        <v>160889.24</v>
      </c>
      <c r="O53">
        <v>0</v>
      </c>
      <c r="P53">
        <v>506360.79</v>
      </c>
      <c r="Q53">
        <v>515698.83</v>
      </c>
      <c r="R53" s="2">
        <v>0.10509863214711709</v>
      </c>
      <c r="T53">
        <f t="shared" si="8"/>
        <v>27234184.132799998</v>
      </c>
      <c r="U53">
        <f t="shared" si="9"/>
        <v>2862275.5</v>
      </c>
    </row>
    <row r="54" spans="1:23" x14ac:dyDescent="0.15">
      <c r="A54" t="s">
        <v>33</v>
      </c>
      <c r="B54" t="s">
        <v>21</v>
      </c>
      <c r="C54">
        <v>123992684.06</v>
      </c>
      <c r="D54">
        <v>10839527.3485</v>
      </c>
      <c r="E54">
        <v>8476431.3959999997</v>
      </c>
      <c r="F54">
        <v>20795993.719999999</v>
      </c>
      <c r="G54">
        <v>43672256.460000001</v>
      </c>
      <c r="H54">
        <v>42985606.93</v>
      </c>
      <c r="I54">
        <v>15733159.460000001</v>
      </c>
      <c r="J54">
        <v>805667.49</v>
      </c>
      <c r="K54">
        <v>280.64</v>
      </c>
      <c r="L54">
        <v>441.02</v>
      </c>
      <c r="M54">
        <v>716707.56</v>
      </c>
      <c r="N54">
        <v>1430.69</v>
      </c>
      <c r="O54">
        <v>123270109.17</v>
      </c>
      <c r="P54">
        <v>0</v>
      </c>
      <c r="Q54">
        <v>54652507.850000001</v>
      </c>
      <c r="R54" s="2">
        <v>0.54655980693846917</v>
      </c>
      <c r="T54">
        <f t="shared" si="8"/>
        <v>226860231.00479999</v>
      </c>
      <c r="U54">
        <f t="shared" si="9"/>
        <v>123992684.06</v>
      </c>
    </row>
    <row r="55" spans="1:23" x14ac:dyDescent="0.15">
      <c r="A55" t="s">
        <v>33</v>
      </c>
      <c r="B55" t="s">
        <v>22</v>
      </c>
      <c r="C55">
        <v>8779609.6999999993</v>
      </c>
      <c r="D55">
        <v>1210199.044</v>
      </c>
      <c r="E55">
        <v>617110.7633999621</v>
      </c>
      <c r="F55">
        <v>3089449.99</v>
      </c>
      <c r="G55">
        <v>2565839.37</v>
      </c>
      <c r="H55">
        <v>1557723.2</v>
      </c>
      <c r="I55">
        <v>1093896.5</v>
      </c>
      <c r="J55">
        <v>449609.63</v>
      </c>
      <c r="K55">
        <v>666136.56000000006</v>
      </c>
      <c r="L55">
        <v>610784.75</v>
      </c>
      <c r="M55">
        <v>3008789.17</v>
      </c>
      <c r="N55">
        <v>2018107.98</v>
      </c>
      <c r="O55">
        <v>0</v>
      </c>
      <c r="P55">
        <v>1266288.3</v>
      </c>
      <c r="Q55">
        <v>3648509.66</v>
      </c>
      <c r="R55" s="2">
        <v>0.23281836469146833</v>
      </c>
      <c r="T55">
        <f t="shared" si="8"/>
        <v>37710125.280000001</v>
      </c>
      <c r="U55">
        <f t="shared" si="9"/>
        <v>8779609.6999999993</v>
      </c>
    </row>
    <row r="56" spans="1:23" x14ac:dyDescent="0.15">
      <c r="A56" t="s">
        <v>33</v>
      </c>
      <c r="B56" t="s">
        <v>23</v>
      </c>
      <c r="C56">
        <v>2249582.67</v>
      </c>
      <c r="D56">
        <v>740739.83909999998</v>
      </c>
      <c r="E56">
        <v>31899.433199976109</v>
      </c>
      <c r="F56">
        <v>622658.62</v>
      </c>
      <c r="G56">
        <v>416808.06</v>
      </c>
      <c r="H56">
        <v>87594.44</v>
      </c>
      <c r="I56">
        <v>160134.06</v>
      </c>
      <c r="J56">
        <v>925533.88</v>
      </c>
      <c r="K56">
        <v>102779.75</v>
      </c>
      <c r="L56">
        <v>376860.5</v>
      </c>
      <c r="M56">
        <v>837419.67</v>
      </c>
      <c r="N56">
        <v>456150.27</v>
      </c>
      <c r="O56">
        <v>49746.98</v>
      </c>
      <c r="P56">
        <v>65252.53</v>
      </c>
      <c r="Q56">
        <v>763898.14</v>
      </c>
      <c r="R56" s="2">
        <v>0.22654660321387091</v>
      </c>
      <c r="T56">
        <f>SUM(T46:T55)</f>
        <v>426087123.0941999</v>
      </c>
      <c r="U56">
        <f>SUM(U46:U55)</f>
        <v>156470503.84999999</v>
      </c>
      <c r="W56" s="3">
        <f>U56/T56</f>
        <v>0.36722654914733788</v>
      </c>
    </row>
    <row r="57" spans="1:23" x14ac:dyDescent="0.15">
      <c r="A57" t="s">
        <v>33</v>
      </c>
      <c r="B57" t="s">
        <v>24</v>
      </c>
      <c r="C57">
        <v>7345101.6699999999</v>
      </c>
      <c r="D57">
        <v>2074465.1237999999</v>
      </c>
      <c r="E57">
        <v>207781.90449997201</v>
      </c>
      <c r="F57">
        <v>1552924.71</v>
      </c>
      <c r="G57">
        <v>1540997.92</v>
      </c>
      <c r="H57">
        <v>961965.55</v>
      </c>
      <c r="I57">
        <v>616915.09</v>
      </c>
      <c r="J57">
        <v>2675036.48</v>
      </c>
      <c r="K57">
        <v>677550.49</v>
      </c>
      <c r="L57">
        <v>785853.47</v>
      </c>
      <c r="M57">
        <v>890227.45000000007</v>
      </c>
      <c r="N57">
        <v>560997.9</v>
      </c>
      <c r="O57">
        <v>592480</v>
      </c>
      <c r="P57">
        <v>2979524.46</v>
      </c>
      <c r="Q57">
        <v>1429623.39</v>
      </c>
      <c r="R57" s="2">
        <v>0.3203737189778173</v>
      </c>
      <c r="T57">
        <f>C57/R57</f>
        <v>22926667.310399998</v>
      </c>
      <c r="U57">
        <f>C57</f>
        <v>7345101.6699999999</v>
      </c>
    </row>
    <row r="58" spans="1:23" x14ac:dyDescent="0.15">
      <c r="A58" t="s">
        <v>33</v>
      </c>
      <c r="B58" t="s">
        <v>25</v>
      </c>
      <c r="C58">
        <v>2092546.58</v>
      </c>
      <c r="D58">
        <v>622827.61430000002</v>
      </c>
      <c r="E58">
        <v>76249.403000006918</v>
      </c>
      <c r="F58">
        <v>507003.06999999989</v>
      </c>
      <c r="G58">
        <v>650365.78</v>
      </c>
      <c r="H58">
        <v>370972.66</v>
      </c>
      <c r="I58">
        <v>79257.17</v>
      </c>
      <c r="J58">
        <v>493638.72</v>
      </c>
      <c r="K58">
        <v>591212.88</v>
      </c>
      <c r="L58">
        <v>149446.35</v>
      </c>
      <c r="M58">
        <v>231124.37</v>
      </c>
      <c r="N58">
        <v>295097.84999999998</v>
      </c>
      <c r="O58">
        <v>0</v>
      </c>
      <c r="P58">
        <v>37197.449999999997</v>
      </c>
      <c r="Q58">
        <v>677353.62999999989</v>
      </c>
      <c r="R58" s="2">
        <v>0.10050006703899256</v>
      </c>
      <c r="T58">
        <f t="shared" ref="T58:T66" si="10">C58/R58</f>
        <v>20821345.115999997</v>
      </c>
      <c r="U58">
        <f t="shared" ref="U58:U67" si="11">C58</f>
        <v>2092546.58</v>
      </c>
    </row>
    <row r="59" spans="1:23" x14ac:dyDescent="0.15">
      <c r="A59" t="s">
        <v>33</v>
      </c>
      <c r="B59" t="s">
        <v>26</v>
      </c>
      <c r="C59">
        <v>1997854.48</v>
      </c>
      <c r="D59">
        <v>642154.74120000005</v>
      </c>
      <c r="E59">
        <v>487512.89420000138</v>
      </c>
      <c r="F59">
        <v>415787.19</v>
      </c>
      <c r="G59">
        <v>629483.46</v>
      </c>
      <c r="H59">
        <v>727348.76</v>
      </c>
      <c r="I59">
        <v>135737.39000000001</v>
      </c>
      <c r="J59">
        <v>93913.8</v>
      </c>
      <c r="K59">
        <v>148848.13</v>
      </c>
      <c r="L59">
        <v>1479506.18</v>
      </c>
      <c r="M59">
        <v>1611491.9</v>
      </c>
      <c r="N59">
        <v>108018.29</v>
      </c>
      <c r="O59">
        <v>0</v>
      </c>
      <c r="P59">
        <v>17729.310000000001</v>
      </c>
      <c r="Q59">
        <v>185676.99</v>
      </c>
      <c r="R59" s="2">
        <v>0.19446647687533308</v>
      </c>
      <c r="T59">
        <f t="shared" si="10"/>
        <v>10273516.0944</v>
      </c>
      <c r="U59">
        <f t="shared" si="11"/>
        <v>1997854.48</v>
      </c>
    </row>
    <row r="60" spans="1:23" x14ac:dyDescent="0.15">
      <c r="A60" t="s">
        <v>33</v>
      </c>
      <c r="B60" t="s">
        <v>27</v>
      </c>
      <c r="C60">
        <v>767019.49</v>
      </c>
      <c r="D60">
        <v>346686.02029999997</v>
      </c>
      <c r="E60">
        <v>75339.260399999854</v>
      </c>
      <c r="F60">
        <v>223883.48</v>
      </c>
      <c r="G60">
        <v>100249.47</v>
      </c>
      <c r="H60">
        <v>119087.89</v>
      </c>
      <c r="I60">
        <v>54294.29</v>
      </c>
      <c r="J60">
        <v>270962.08</v>
      </c>
      <c r="K60">
        <v>317534.11</v>
      </c>
      <c r="L60">
        <v>91881.53</v>
      </c>
      <c r="M60">
        <v>37940.400000000001</v>
      </c>
      <c r="N60">
        <v>4736.88</v>
      </c>
      <c r="O60">
        <v>0</v>
      </c>
      <c r="P60">
        <v>136373.74</v>
      </c>
      <c r="Q60">
        <v>260308.27</v>
      </c>
      <c r="R60" s="2">
        <v>0.10792388806239112</v>
      </c>
      <c r="T60">
        <f t="shared" si="10"/>
        <v>7107040.9320000019</v>
      </c>
      <c r="U60">
        <f t="shared" si="11"/>
        <v>767019.49</v>
      </c>
    </row>
    <row r="61" spans="1:23" x14ac:dyDescent="0.15">
      <c r="A61" t="s">
        <v>33</v>
      </c>
      <c r="B61" t="s">
        <v>28</v>
      </c>
      <c r="C61">
        <v>4875447.6500000004</v>
      </c>
      <c r="D61">
        <v>2670109.7256999998</v>
      </c>
      <c r="E61">
        <v>1315972.612699986</v>
      </c>
      <c r="F61">
        <v>754744.77</v>
      </c>
      <c r="G61">
        <v>1220389.23</v>
      </c>
      <c r="H61">
        <v>1643496.9</v>
      </c>
      <c r="I61">
        <v>219399.53</v>
      </c>
      <c r="J61">
        <v>1003282.72</v>
      </c>
      <c r="K61">
        <v>1416085.42</v>
      </c>
      <c r="L61">
        <v>180300.7</v>
      </c>
      <c r="M61">
        <v>977701.84</v>
      </c>
      <c r="N61">
        <v>1341013.49</v>
      </c>
      <c r="O61">
        <v>97000</v>
      </c>
      <c r="P61">
        <v>231623.6</v>
      </c>
      <c r="Q61">
        <v>587187.85</v>
      </c>
      <c r="R61" s="2">
        <v>0.10242680924944221</v>
      </c>
      <c r="T61">
        <f t="shared" si="10"/>
        <v>47599331.519999981</v>
      </c>
      <c r="U61">
        <f t="shared" si="11"/>
        <v>4875447.6500000004</v>
      </c>
    </row>
    <row r="62" spans="1:23" x14ac:dyDescent="0.15">
      <c r="A62" t="s">
        <v>34</v>
      </c>
      <c r="B62" t="s">
        <v>19</v>
      </c>
      <c r="C62">
        <v>2945229.04</v>
      </c>
      <c r="D62">
        <v>974802.80599999998</v>
      </c>
      <c r="E62">
        <v>201229.8628999842</v>
      </c>
      <c r="F62">
        <v>608577.80999999994</v>
      </c>
      <c r="G62">
        <v>837810.52</v>
      </c>
      <c r="H62">
        <v>569957.52</v>
      </c>
      <c r="I62">
        <v>139999.14000000001</v>
      </c>
      <c r="J62">
        <v>765882.29</v>
      </c>
      <c r="K62">
        <v>629292.85</v>
      </c>
      <c r="L62">
        <v>370977.38</v>
      </c>
      <c r="M62">
        <v>386867.25</v>
      </c>
      <c r="N62">
        <v>426015.3</v>
      </c>
      <c r="O62">
        <v>139600</v>
      </c>
      <c r="P62">
        <v>245176.2</v>
      </c>
      <c r="Q62">
        <v>717850.66</v>
      </c>
      <c r="R62" s="2">
        <v>0.16317118787483212</v>
      </c>
      <c r="T62">
        <f t="shared" si="10"/>
        <v>18049933.191999998</v>
      </c>
      <c r="U62">
        <f t="shared" si="11"/>
        <v>2945229.04</v>
      </c>
    </row>
    <row r="63" spans="1:23" x14ac:dyDescent="0.15">
      <c r="A63" t="s">
        <v>34</v>
      </c>
      <c r="B63" t="s">
        <v>20</v>
      </c>
      <c r="C63">
        <v>2713123.79</v>
      </c>
      <c r="D63">
        <v>703352.57770000002</v>
      </c>
      <c r="E63">
        <v>189965.2681000008</v>
      </c>
      <c r="F63">
        <v>362975.51</v>
      </c>
      <c r="G63">
        <v>851357.13</v>
      </c>
      <c r="H63">
        <v>840749.51</v>
      </c>
      <c r="I63">
        <v>172122.98</v>
      </c>
      <c r="J63">
        <v>490682.95</v>
      </c>
      <c r="K63">
        <v>676333.4</v>
      </c>
      <c r="L63">
        <v>123552.71</v>
      </c>
      <c r="M63">
        <v>184968.58</v>
      </c>
      <c r="N63">
        <v>156760.64000000001</v>
      </c>
      <c r="O63">
        <v>0</v>
      </c>
      <c r="P63">
        <v>489535.63</v>
      </c>
      <c r="Q63">
        <v>335197.18</v>
      </c>
      <c r="R63" s="2">
        <v>0.10873285113390174</v>
      </c>
      <c r="T63">
        <f t="shared" si="10"/>
        <v>24952199.465999994</v>
      </c>
      <c r="U63">
        <f t="shared" si="11"/>
        <v>2713123.79</v>
      </c>
    </row>
    <row r="64" spans="1:23" x14ac:dyDescent="0.15">
      <c r="A64" t="s">
        <v>34</v>
      </c>
      <c r="B64" t="s">
        <v>21</v>
      </c>
      <c r="C64">
        <v>103138171.72</v>
      </c>
      <c r="D64">
        <v>7390642.0797000006</v>
      </c>
      <c r="E64">
        <v>5027546.1272</v>
      </c>
      <c r="F64">
        <v>33797995.509999998</v>
      </c>
      <c r="G64">
        <v>31234280.18</v>
      </c>
      <c r="H64">
        <v>26905146.77</v>
      </c>
      <c r="I64">
        <v>11025211.039999999</v>
      </c>
      <c r="J64">
        <v>175538.22</v>
      </c>
      <c r="K64">
        <v>280.64</v>
      </c>
      <c r="L64">
        <v>504.02</v>
      </c>
      <c r="M64">
        <v>794503.88</v>
      </c>
      <c r="N64">
        <v>1465.59</v>
      </c>
      <c r="O64">
        <v>102337609.61</v>
      </c>
      <c r="P64">
        <v>0</v>
      </c>
      <c r="Q64">
        <v>34205377.439999998</v>
      </c>
      <c r="R64" s="2">
        <v>0.45229667310020472</v>
      </c>
      <c r="T64">
        <f t="shared" si="10"/>
        <v>228032125.49200004</v>
      </c>
      <c r="U64">
        <f t="shared" si="11"/>
        <v>103138171.72</v>
      </c>
    </row>
    <row r="65" spans="1:23" x14ac:dyDescent="0.15">
      <c r="A65" t="s">
        <v>34</v>
      </c>
      <c r="B65" t="s">
        <v>22</v>
      </c>
      <c r="C65">
        <v>7285876.3799999999</v>
      </c>
      <c r="D65">
        <v>1159429.9461999999</v>
      </c>
      <c r="E65">
        <v>566341.66559996223</v>
      </c>
      <c r="F65">
        <v>2156145.87</v>
      </c>
      <c r="G65">
        <v>1631539.8</v>
      </c>
      <c r="H65">
        <v>1590814.36</v>
      </c>
      <c r="I65">
        <v>1025539.89</v>
      </c>
      <c r="J65">
        <v>507406.14</v>
      </c>
      <c r="K65">
        <v>671662.66</v>
      </c>
      <c r="L65">
        <v>682252.03</v>
      </c>
      <c r="M65">
        <v>2630591.04</v>
      </c>
      <c r="N65">
        <v>1062509.07</v>
      </c>
      <c r="O65">
        <v>0</v>
      </c>
      <c r="P65">
        <v>1197130.8700000001</v>
      </c>
      <c r="Q65">
        <v>1948516.9</v>
      </c>
      <c r="R65" s="2">
        <v>0.19557559489491305</v>
      </c>
      <c r="T65">
        <f t="shared" si="10"/>
        <v>37253504.886</v>
      </c>
      <c r="U65">
        <f t="shared" si="11"/>
        <v>7285876.3799999999</v>
      </c>
    </row>
    <row r="66" spans="1:23" x14ac:dyDescent="0.15">
      <c r="A66" t="s">
        <v>34</v>
      </c>
      <c r="B66" t="s">
        <v>23</v>
      </c>
      <c r="C66">
        <v>2242890.36</v>
      </c>
      <c r="D66">
        <v>547984.16969999997</v>
      </c>
      <c r="E66">
        <v>-160856.23620002391</v>
      </c>
      <c r="F66">
        <v>491149.45</v>
      </c>
      <c r="G66">
        <v>296642.01</v>
      </c>
      <c r="H66">
        <v>145864.41</v>
      </c>
      <c r="I66">
        <v>148482.07999999999</v>
      </c>
      <c r="J66">
        <v>699024.98</v>
      </c>
      <c r="K66">
        <v>116948.69</v>
      </c>
      <c r="L66">
        <v>380054.04</v>
      </c>
      <c r="M66">
        <v>585506.63</v>
      </c>
      <c r="N66">
        <v>461574.53</v>
      </c>
      <c r="O66">
        <v>187693.64</v>
      </c>
      <c r="P66">
        <v>105820.76</v>
      </c>
      <c r="Q66">
        <v>547368.71</v>
      </c>
      <c r="R66" s="2">
        <v>0.22011378970670853</v>
      </c>
      <c r="T66">
        <f t="shared" si="10"/>
        <v>10189685.812000001</v>
      </c>
      <c r="U66">
        <f t="shared" si="11"/>
        <v>2242890.36</v>
      </c>
    </row>
    <row r="67" spans="1:23" x14ac:dyDescent="0.15">
      <c r="A67" t="s">
        <v>34</v>
      </c>
      <c r="B67" t="s">
        <v>24</v>
      </c>
      <c r="C67">
        <v>7246584.46</v>
      </c>
      <c r="D67">
        <v>2127754.9304</v>
      </c>
      <c r="E67">
        <v>261071.71109997199</v>
      </c>
      <c r="F67">
        <v>1328631.8600000001</v>
      </c>
      <c r="G67">
        <v>1460851.69</v>
      </c>
      <c r="H67">
        <v>1199572.8999999999</v>
      </c>
      <c r="I67">
        <v>538759.42999999993</v>
      </c>
      <c r="J67">
        <v>2674848.27</v>
      </c>
      <c r="K67">
        <v>705553.88</v>
      </c>
      <c r="L67">
        <v>926542.83</v>
      </c>
      <c r="M67">
        <v>956773.26</v>
      </c>
      <c r="N67">
        <v>469107.37</v>
      </c>
      <c r="O67">
        <v>340880</v>
      </c>
      <c r="P67">
        <v>2860240.08</v>
      </c>
      <c r="Q67">
        <v>462441.79</v>
      </c>
      <c r="R67" s="2">
        <v>0.3125481434282209</v>
      </c>
      <c r="T67">
        <f>SUM(T57:T66)</f>
        <v>427205349.82079995</v>
      </c>
      <c r="U67">
        <f>SUM(U57:U66)</f>
        <v>135403261.16</v>
      </c>
      <c r="W67" s="3">
        <f>U67/T67</f>
        <v>0.31695123016787519</v>
      </c>
    </row>
    <row r="68" spans="1:23" x14ac:dyDescent="0.15">
      <c r="A68" t="s">
        <v>34</v>
      </c>
      <c r="B68" t="s">
        <v>25</v>
      </c>
      <c r="C68">
        <v>2133007.3599999999</v>
      </c>
      <c r="D68">
        <v>623799.55559999996</v>
      </c>
      <c r="E68">
        <v>77221.344300006866</v>
      </c>
      <c r="F68">
        <v>712235.9</v>
      </c>
      <c r="G68">
        <v>586714.25</v>
      </c>
      <c r="H68">
        <v>252028.33</v>
      </c>
      <c r="I68">
        <v>78125.350000000006</v>
      </c>
      <c r="J68">
        <v>506989.95</v>
      </c>
      <c r="K68">
        <v>601883.80000000005</v>
      </c>
      <c r="L68">
        <v>153192.82999999999</v>
      </c>
      <c r="M68">
        <v>251268.94</v>
      </c>
      <c r="N68">
        <v>293939.01</v>
      </c>
      <c r="O68">
        <v>0</v>
      </c>
      <c r="P68">
        <v>56378.5</v>
      </c>
      <c r="Q68">
        <v>453953.86</v>
      </c>
      <c r="R68" s="2">
        <v>0.10146325427938949</v>
      </c>
    </row>
    <row r="69" spans="1:23" x14ac:dyDescent="0.15">
      <c r="A69" t="s">
        <v>34</v>
      </c>
      <c r="B69" t="s">
        <v>26</v>
      </c>
      <c r="C69">
        <v>2233168.79</v>
      </c>
      <c r="D69">
        <v>765653.27179999999</v>
      </c>
      <c r="E69">
        <v>611011.42480000132</v>
      </c>
      <c r="F69">
        <v>418867.37</v>
      </c>
      <c r="G69">
        <v>601665.16</v>
      </c>
      <c r="H69">
        <v>755794.09000000008</v>
      </c>
      <c r="I69">
        <v>363977.79</v>
      </c>
      <c r="J69">
        <v>96126.96</v>
      </c>
      <c r="K69">
        <v>150078.6</v>
      </c>
      <c r="L69">
        <v>1718810.51</v>
      </c>
      <c r="M69">
        <v>1843954.33</v>
      </c>
      <c r="N69">
        <v>81246.959999999992</v>
      </c>
      <c r="O69">
        <v>0</v>
      </c>
      <c r="P69">
        <v>26745.42</v>
      </c>
      <c r="Q69">
        <v>1524501.36</v>
      </c>
      <c r="R69" s="2">
        <v>0.21624442712810943</v>
      </c>
    </row>
    <row r="70" spans="1:23" x14ac:dyDescent="0.15">
      <c r="A70" t="s">
        <v>34</v>
      </c>
      <c r="B70" t="s">
        <v>27</v>
      </c>
      <c r="C70">
        <v>624684.81000000006</v>
      </c>
      <c r="D70">
        <v>350017.40639999998</v>
      </c>
      <c r="E70">
        <v>78670.646499999857</v>
      </c>
      <c r="F70">
        <v>115761.13</v>
      </c>
      <c r="G70">
        <v>127113.56</v>
      </c>
      <c r="H70">
        <v>49206.97</v>
      </c>
      <c r="I70">
        <v>52936.89</v>
      </c>
      <c r="J70">
        <v>280143.87</v>
      </c>
      <c r="K70">
        <v>288032.46000000002</v>
      </c>
      <c r="L70">
        <v>95025.05</v>
      </c>
      <c r="M70">
        <v>49570.04</v>
      </c>
      <c r="N70">
        <v>10551.65</v>
      </c>
      <c r="O70">
        <v>0</v>
      </c>
      <c r="P70">
        <v>48792.98</v>
      </c>
      <c r="Q70">
        <v>101561.17</v>
      </c>
      <c r="R70" s="2">
        <v>8.8326418167625542E-2</v>
      </c>
    </row>
    <row r="71" spans="1:23" x14ac:dyDescent="0.15">
      <c r="A71" t="s">
        <v>34</v>
      </c>
      <c r="B71" t="s">
        <v>28</v>
      </c>
      <c r="C71">
        <v>5040283.78</v>
      </c>
      <c r="D71">
        <v>3262899.9216999998</v>
      </c>
      <c r="E71">
        <v>1908762.808699986</v>
      </c>
      <c r="F71">
        <v>737485.89</v>
      </c>
      <c r="G71">
        <v>732976.39999999991</v>
      </c>
      <c r="H71">
        <v>1981360.09</v>
      </c>
      <c r="I71">
        <v>477115.44</v>
      </c>
      <c r="J71">
        <v>1030284.72</v>
      </c>
      <c r="K71">
        <v>1463376.41</v>
      </c>
      <c r="L71">
        <v>188194.21</v>
      </c>
      <c r="M71">
        <v>975655.66999999993</v>
      </c>
      <c r="N71">
        <v>1347274.57</v>
      </c>
      <c r="O71">
        <v>110250</v>
      </c>
      <c r="P71">
        <v>336998.83</v>
      </c>
      <c r="Q71">
        <v>551735.18000000005</v>
      </c>
      <c r="R71" s="2">
        <v>0.10632387572986227</v>
      </c>
    </row>
    <row r="72" spans="1:23" x14ac:dyDescent="0.15">
      <c r="A72" t="s">
        <v>35</v>
      </c>
      <c r="B72" t="s">
        <v>19</v>
      </c>
      <c r="C72">
        <v>2841380.83</v>
      </c>
      <c r="D72">
        <v>948311.84210000001</v>
      </c>
      <c r="E72">
        <v>174738.89899998429</v>
      </c>
      <c r="F72">
        <v>625011.15</v>
      </c>
      <c r="G72">
        <v>726558.56</v>
      </c>
      <c r="H72">
        <v>616382.56000000006</v>
      </c>
      <c r="I72">
        <v>95701.15</v>
      </c>
      <c r="J72">
        <v>777779</v>
      </c>
      <c r="K72">
        <v>627011.79</v>
      </c>
      <c r="L72">
        <v>291712.17</v>
      </c>
      <c r="M72">
        <v>396007.8</v>
      </c>
      <c r="N72">
        <v>426037.92</v>
      </c>
      <c r="O72">
        <v>2500</v>
      </c>
      <c r="P72">
        <v>218655.64</v>
      </c>
      <c r="Q72">
        <v>479847.98</v>
      </c>
      <c r="R72" s="2">
        <v>0.15846409348687304</v>
      </c>
    </row>
    <row r="73" spans="1:23" x14ac:dyDescent="0.15">
      <c r="A73" t="s">
        <v>35</v>
      </c>
      <c r="B73" t="s">
        <v>20</v>
      </c>
      <c r="C73">
        <v>2844238.83</v>
      </c>
      <c r="D73">
        <v>760162.33849999995</v>
      </c>
      <c r="E73">
        <v>246775.0289000007</v>
      </c>
      <c r="F73">
        <v>470957.13</v>
      </c>
      <c r="G73">
        <v>364095.44</v>
      </c>
      <c r="H73">
        <v>1160117.95</v>
      </c>
      <c r="I73">
        <v>355216.75</v>
      </c>
      <c r="J73">
        <v>498932.2</v>
      </c>
      <c r="K73">
        <v>681004.91</v>
      </c>
      <c r="L73">
        <v>265103.3</v>
      </c>
      <c r="M73">
        <v>318507.95</v>
      </c>
      <c r="N73">
        <v>118516.21</v>
      </c>
      <c r="O73">
        <v>0</v>
      </c>
      <c r="P73">
        <v>477315.63</v>
      </c>
      <c r="Q73">
        <v>662791.16</v>
      </c>
      <c r="R73" s="2">
        <v>0.12118863607867576</v>
      </c>
    </row>
    <row r="74" spans="1:23" x14ac:dyDescent="0.15">
      <c r="A74" t="s">
        <v>35</v>
      </c>
      <c r="B74" t="s">
        <v>21</v>
      </c>
      <c r="C74">
        <v>90040961.659999996</v>
      </c>
      <c r="D74">
        <v>8125954.0784</v>
      </c>
      <c r="E74">
        <v>5762858.1259000003</v>
      </c>
      <c r="F74">
        <v>21108167.379999999</v>
      </c>
      <c r="G74">
        <v>23013036.989999998</v>
      </c>
      <c r="H74">
        <v>27866145.170000002</v>
      </c>
      <c r="I74">
        <v>17872520.800000001</v>
      </c>
      <c r="J74">
        <v>181091.32</v>
      </c>
      <c r="K74">
        <v>280.64</v>
      </c>
      <c r="L74">
        <v>567.02</v>
      </c>
      <c r="M74">
        <v>872300.2</v>
      </c>
      <c r="N74">
        <v>1256055.3899999999</v>
      </c>
      <c r="O74">
        <v>87907865.430000007</v>
      </c>
      <c r="P74">
        <v>0</v>
      </c>
      <c r="Q74">
        <v>34509563.32</v>
      </c>
      <c r="R74" s="2">
        <v>0.38921528712638426</v>
      </c>
    </row>
    <row r="75" spans="1:23" x14ac:dyDescent="0.15">
      <c r="A75" t="s">
        <v>35</v>
      </c>
      <c r="B75" t="s">
        <v>22</v>
      </c>
      <c r="C75">
        <v>7628384.7699999996</v>
      </c>
      <c r="D75">
        <v>1314011.0107</v>
      </c>
      <c r="E75">
        <v>720922.73009996209</v>
      </c>
      <c r="F75">
        <v>2319459.75</v>
      </c>
      <c r="G75">
        <v>1780389.59</v>
      </c>
      <c r="H75">
        <v>1651513.85</v>
      </c>
      <c r="I75">
        <v>1272547.8500000001</v>
      </c>
      <c r="J75">
        <v>598427.32999999996</v>
      </c>
      <c r="K75">
        <v>723950.38</v>
      </c>
      <c r="L75">
        <v>675599.58</v>
      </c>
      <c r="M75">
        <v>2817815.85</v>
      </c>
      <c r="N75">
        <v>1018010.82</v>
      </c>
      <c r="O75">
        <v>0</v>
      </c>
      <c r="P75">
        <v>1230252.6399999999</v>
      </c>
      <c r="Q75">
        <v>2409663.91</v>
      </c>
      <c r="R75" s="2">
        <v>0.20589130032418748</v>
      </c>
    </row>
    <row r="76" spans="1:23" x14ac:dyDescent="0.15">
      <c r="A76" t="s">
        <v>35</v>
      </c>
      <c r="B76" t="s">
        <v>23</v>
      </c>
      <c r="C76">
        <v>2495547.67</v>
      </c>
      <c r="D76">
        <v>608465.23430000001</v>
      </c>
      <c r="E76">
        <v>-100375.1716000239</v>
      </c>
      <c r="F76">
        <v>799259.03</v>
      </c>
      <c r="G76">
        <v>549980.62</v>
      </c>
      <c r="H76">
        <v>251281.47</v>
      </c>
      <c r="I76">
        <v>163133.19</v>
      </c>
      <c r="J76">
        <v>727570.12</v>
      </c>
      <c r="K76">
        <v>125931.2</v>
      </c>
      <c r="L76">
        <v>532901.86</v>
      </c>
      <c r="M76">
        <v>650596.51</v>
      </c>
      <c r="N76">
        <v>465344.44</v>
      </c>
      <c r="O76">
        <v>449590.3</v>
      </c>
      <c r="P76">
        <v>118474.57</v>
      </c>
      <c r="Q76">
        <v>612658.69999999995</v>
      </c>
      <c r="R76" s="2">
        <v>0.23932308587481277</v>
      </c>
    </row>
    <row r="77" spans="1:23" x14ac:dyDescent="0.15">
      <c r="A77" t="s">
        <v>35</v>
      </c>
      <c r="B77" t="s">
        <v>24</v>
      </c>
      <c r="C77">
        <v>7922286.6399999997</v>
      </c>
      <c r="D77">
        <v>2482453.2546000001</v>
      </c>
      <c r="E77">
        <v>615770.03529997217</v>
      </c>
      <c r="F77">
        <v>1159495.93</v>
      </c>
      <c r="G77">
        <v>1913824.68</v>
      </c>
      <c r="H77">
        <v>1493720.36</v>
      </c>
      <c r="I77">
        <v>650996.29</v>
      </c>
      <c r="J77">
        <v>2711774.49</v>
      </c>
      <c r="K77">
        <v>730396.43</v>
      </c>
      <c r="L77">
        <v>1164038.1499999999</v>
      </c>
      <c r="M77">
        <v>1066221.57</v>
      </c>
      <c r="N77">
        <v>458740.47999999998</v>
      </c>
      <c r="O77">
        <v>648880</v>
      </c>
      <c r="P77">
        <v>2925450.63</v>
      </c>
      <c r="Q77">
        <v>1955494.28</v>
      </c>
      <c r="R77" s="2">
        <v>0.34080051789515547</v>
      </c>
    </row>
    <row r="78" spans="1:23" x14ac:dyDescent="0.15">
      <c r="A78" t="s">
        <v>35</v>
      </c>
      <c r="B78" t="s">
        <v>25</v>
      </c>
      <c r="C78">
        <v>2370295.4</v>
      </c>
      <c r="D78">
        <v>659186.43030000001</v>
      </c>
      <c r="E78">
        <v>112608.21900000689</v>
      </c>
      <c r="F78">
        <v>689738.19000000006</v>
      </c>
      <c r="G78">
        <v>631625.67000000004</v>
      </c>
      <c r="H78">
        <v>461218.27</v>
      </c>
      <c r="I78">
        <v>83099.12</v>
      </c>
      <c r="J78">
        <v>518578.29</v>
      </c>
      <c r="K78">
        <v>611454.6</v>
      </c>
      <c r="L78">
        <v>153452.98000000001</v>
      </c>
      <c r="M78">
        <v>237377.45</v>
      </c>
      <c r="N78">
        <v>201914.76</v>
      </c>
      <c r="O78">
        <v>0</v>
      </c>
      <c r="P78">
        <v>71729.2</v>
      </c>
      <c r="Q78">
        <v>336763.28</v>
      </c>
      <c r="R78" s="2">
        <v>0.11188340760467889</v>
      </c>
    </row>
    <row r="79" spans="1:23" x14ac:dyDescent="0.15">
      <c r="A79" t="s">
        <v>35</v>
      </c>
      <c r="B79" t="s">
        <v>26</v>
      </c>
      <c r="C79">
        <v>1115025.29</v>
      </c>
      <c r="D79">
        <v>322306.37449999998</v>
      </c>
      <c r="E79">
        <v>167664.52750000131</v>
      </c>
      <c r="F79">
        <v>409161.13</v>
      </c>
      <c r="G79">
        <v>435260.71</v>
      </c>
      <c r="H79">
        <v>94846.1</v>
      </c>
      <c r="I79">
        <v>81919.98</v>
      </c>
      <c r="J79">
        <v>99144.16</v>
      </c>
      <c r="K79">
        <v>155816.14000000001</v>
      </c>
      <c r="L79">
        <v>596749.12</v>
      </c>
      <c r="M79">
        <v>752415.53</v>
      </c>
      <c r="N79">
        <v>69683.78</v>
      </c>
      <c r="O79">
        <v>0</v>
      </c>
      <c r="P79">
        <v>33841.14</v>
      </c>
      <c r="Q79">
        <v>211100.93</v>
      </c>
      <c r="R79" s="2">
        <v>0.10800165527633099</v>
      </c>
    </row>
    <row r="80" spans="1:23" x14ac:dyDescent="0.15">
      <c r="A80" t="s">
        <v>35</v>
      </c>
      <c r="B80" t="s">
        <v>27</v>
      </c>
      <c r="C80">
        <v>729693.79</v>
      </c>
      <c r="D80">
        <v>405454.1654</v>
      </c>
      <c r="E80">
        <v>134107.40549999991</v>
      </c>
      <c r="F80">
        <v>122834.93</v>
      </c>
      <c r="G80">
        <v>102857.67</v>
      </c>
      <c r="H80">
        <v>87753.35</v>
      </c>
      <c r="I80">
        <v>119523.27</v>
      </c>
      <c r="J80">
        <v>299138.55</v>
      </c>
      <c r="K80">
        <v>305208.13</v>
      </c>
      <c r="L80">
        <v>97140.47</v>
      </c>
      <c r="M80">
        <v>40533.449999999997</v>
      </c>
      <c r="N80">
        <v>11808</v>
      </c>
      <c r="O80">
        <v>0</v>
      </c>
      <c r="P80">
        <v>118162.17</v>
      </c>
      <c r="Q80">
        <v>137731.75</v>
      </c>
      <c r="R80" s="2">
        <v>0.10315297358259878</v>
      </c>
    </row>
    <row r="81" spans="1:18" x14ac:dyDescent="0.15">
      <c r="A81" t="s">
        <v>35</v>
      </c>
      <c r="B81" t="s">
        <v>28</v>
      </c>
      <c r="C81">
        <v>5247553.5</v>
      </c>
      <c r="D81">
        <v>3217111.36</v>
      </c>
      <c r="E81">
        <v>1862974.246999986</v>
      </c>
      <c r="F81">
        <v>831651.91</v>
      </c>
      <c r="G81">
        <v>570691.73</v>
      </c>
      <c r="H81">
        <v>1970682.1</v>
      </c>
      <c r="I81">
        <v>744726.42</v>
      </c>
      <c r="J81">
        <v>1048082.55</v>
      </c>
      <c r="K81">
        <v>1518535.11</v>
      </c>
      <c r="L81">
        <v>215021.88</v>
      </c>
      <c r="M81">
        <v>1019567.97</v>
      </c>
      <c r="N81">
        <v>1348752.98</v>
      </c>
      <c r="O81">
        <v>137333.32999999999</v>
      </c>
      <c r="P81">
        <v>246923.82</v>
      </c>
      <c r="Q81">
        <v>1264363.57</v>
      </c>
      <c r="R81" s="2">
        <v>0.11005745637581317</v>
      </c>
    </row>
    <row r="82" spans="1:18" x14ac:dyDescent="0.15">
      <c r="A82" t="s">
        <v>36</v>
      </c>
      <c r="B82" t="s">
        <v>19</v>
      </c>
      <c r="C82">
        <v>2947879.84</v>
      </c>
      <c r="D82">
        <v>993504.1372</v>
      </c>
      <c r="E82">
        <v>219931.19409998419</v>
      </c>
      <c r="F82">
        <v>583127.29</v>
      </c>
      <c r="G82">
        <v>670031.86999999988</v>
      </c>
      <c r="H82">
        <v>521714.82000000012</v>
      </c>
      <c r="I82">
        <v>387556.53</v>
      </c>
      <c r="J82">
        <v>786053.6</v>
      </c>
      <c r="K82">
        <v>646562.77</v>
      </c>
      <c r="L82">
        <v>321839.45</v>
      </c>
      <c r="M82">
        <v>383831.9</v>
      </c>
      <c r="N82">
        <v>420626.32</v>
      </c>
      <c r="O82">
        <v>0</v>
      </c>
      <c r="P82">
        <v>190248.92</v>
      </c>
      <c r="Q82">
        <v>959608.87</v>
      </c>
      <c r="R82" s="2">
        <v>0.16441001416977724</v>
      </c>
    </row>
    <row r="83" spans="1:18" x14ac:dyDescent="0.15">
      <c r="A83" t="s">
        <v>36</v>
      </c>
      <c r="B83" t="s">
        <v>20</v>
      </c>
      <c r="C83">
        <v>2653775.34</v>
      </c>
      <c r="D83">
        <v>912155.84860000003</v>
      </c>
      <c r="E83">
        <v>398768.5390000008</v>
      </c>
      <c r="F83">
        <v>327398.14</v>
      </c>
      <c r="G83">
        <v>426513.19</v>
      </c>
      <c r="H83">
        <v>733260.64</v>
      </c>
      <c r="I83">
        <v>673177.81</v>
      </c>
      <c r="J83">
        <v>491588.02</v>
      </c>
      <c r="K83">
        <v>700067.98</v>
      </c>
      <c r="L83">
        <v>246636.45</v>
      </c>
      <c r="M83">
        <v>302997.31</v>
      </c>
      <c r="N83">
        <v>127675.2</v>
      </c>
      <c r="O83">
        <v>0</v>
      </c>
      <c r="P83">
        <v>576332.73</v>
      </c>
      <c r="Q83">
        <v>626958.93000000005</v>
      </c>
      <c r="R83" s="2">
        <v>0.11912215644620651</v>
      </c>
    </row>
    <row r="84" spans="1:18" x14ac:dyDescent="0.15">
      <c r="A84" t="s">
        <v>36</v>
      </c>
      <c r="B84" t="s">
        <v>21</v>
      </c>
      <c r="C84">
        <v>64705127.039999999</v>
      </c>
      <c r="D84">
        <v>7167546.4155000001</v>
      </c>
      <c r="E84">
        <v>4804450.4630000005</v>
      </c>
      <c r="F84">
        <v>9181471.9499999993</v>
      </c>
      <c r="G84">
        <v>11799438.24</v>
      </c>
      <c r="H84">
        <v>24929931.27</v>
      </c>
      <c r="I84">
        <v>18129384.100000001</v>
      </c>
      <c r="J84">
        <v>664101.48</v>
      </c>
      <c r="K84">
        <v>280.64</v>
      </c>
      <c r="L84">
        <v>630.02</v>
      </c>
      <c r="M84">
        <v>683563.24</v>
      </c>
      <c r="N84">
        <v>2503454.29</v>
      </c>
      <c r="O84">
        <v>61515368.869999997</v>
      </c>
      <c r="P84">
        <v>0</v>
      </c>
      <c r="Q84">
        <v>30785025.219999999</v>
      </c>
      <c r="R84" s="2">
        <v>0.27739583481747837</v>
      </c>
    </row>
    <row r="85" spans="1:18" x14ac:dyDescent="0.15">
      <c r="A85" t="s">
        <v>36</v>
      </c>
      <c r="B85" t="s">
        <v>22</v>
      </c>
      <c r="C85">
        <v>7005175.4199999999</v>
      </c>
      <c r="D85">
        <v>1058574.1422999999</v>
      </c>
      <c r="E85">
        <v>465485.86169996212</v>
      </c>
      <c r="F85">
        <v>2158348.06</v>
      </c>
      <c r="G85">
        <v>1578465.07</v>
      </c>
      <c r="H85">
        <v>1410875.36</v>
      </c>
      <c r="I85">
        <v>1044795.46</v>
      </c>
      <c r="J85">
        <v>565332</v>
      </c>
      <c r="K85">
        <v>752550.12</v>
      </c>
      <c r="L85">
        <v>688214.67999999993</v>
      </c>
      <c r="M85">
        <v>2780222.24</v>
      </c>
      <c r="N85">
        <v>923443.54</v>
      </c>
      <c r="O85">
        <v>0</v>
      </c>
      <c r="P85">
        <v>1107744.75</v>
      </c>
      <c r="Q85">
        <v>2511906.75</v>
      </c>
      <c r="R85" s="2">
        <v>0.19064571771081551</v>
      </c>
    </row>
    <row r="86" spans="1:18" x14ac:dyDescent="0.15">
      <c r="A86" t="s">
        <v>36</v>
      </c>
      <c r="B86" t="s">
        <v>23</v>
      </c>
      <c r="C86">
        <v>2412795.4700000002</v>
      </c>
      <c r="D86">
        <v>636787.50529999996</v>
      </c>
      <c r="E86">
        <v>-72052.900600023917</v>
      </c>
      <c r="F86">
        <v>567876.93999999994</v>
      </c>
      <c r="G86">
        <v>720728.67999999993</v>
      </c>
      <c r="H86">
        <v>201519.12</v>
      </c>
      <c r="I86">
        <v>148578.9</v>
      </c>
      <c r="J86">
        <v>751218.63</v>
      </c>
      <c r="K86">
        <v>96983.31</v>
      </c>
      <c r="L86">
        <v>512584.22</v>
      </c>
      <c r="M86">
        <v>485627.08</v>
      </c>
      <c r="N86">
        <v>474111.06</v>
      </c>
      <c r="O86">
        <v>520072.12</v>
      </c>
      <c r="P86">
        <v>109673.91</v>
      </c>
      <c r="Q86">
        <v>703451</v>
      </c>
      <c r="R86" s="2">
        <v>0.23491353071372956</v>
      </c>
    </row>
    <row r="87" spans="1:18" x14ac:dyDescent="0.15">
      <c r="A87" t="s">
        <v>36</v>
      </c>
      <c r="B87" t="s">
        <v>24</v>
      </c>
      <c r="C87">
        <v>7132431.7599999998</v>
      </c>
      <c r="D87">
        <v>2454420.9345</v>
      </c>
      <c r="E87">
        <v>587737.71519997204</v>
      </c>
      <c r="F87">
        <v>1159532.97</v>
      </c>
      <c r="G87">
        <v>1698327.57</v>
      </c>
      <c r="H87">
        <v>1139819.6100000001</v>
      </c>
      <c r="I87">
        <v>464185.09</v>
      </c>
      <c r="J87">
        <v>2647606.38</v>
      </c>
      <c r="K87">
        <v>744425.87</v>
      </c>
      <c r="L87">
        <v>931637.25</v>
      </c>
      <c r="M87">
        <v>621126.23</v>
      </c>
      <c r="N87">
        <v>436127.14</v>
      </c>
      <c r="O87">
        <v>956880</v>
      </c>
      <c r="P87">
        <v>2560013.6800000002</v>
      </c>
      <c r="Q87">
        <v>1146618.3</v>
      </c>
      <c r="R87" s="2">
        <v>0.27414831456050259</v>
      </c>
    </row>
    <row r="88" spans="1:18" x14ac:dyDescent="0.15">
      <c r="A88" t="s">
        <v>36</v>
      </c>
      <c r="B88" t="s">
        <v>25</v>
      </c>
      <c r="C88">
        <v>2476086.77</v>
      </c>
      <c r="D88">
        <v>688271.06779999996</v>
      </c>
      <c r="E88">
        <v>141692.85650000689</v>
      </c>
      <c r="F88">
        <v>440025.19</v>
      </c>
      <c r="G88">
        <v>824835.41999999993</v>
      </c>
      <c r="H88">
        <v>600813.73</v>
      </c>
      <c r="I88">
        <v>86735.7</v>
      </c>
      <c r="J88">
        <v>528786.94999999995</v>
      </c>
      <c r="K88">
        <v>630224.6</v>
      </c>
      <c r="L88">
        <v>156434.76</v>
      </c>
      <c r="M88">
        <v>241159.12</v>
      </c>
      <c r="N88">
        <v>198074.8</v>
      </c>
      <c r="O88">
        <v>0</v>
      </c>
      <c r="P88">
        <v>136562.82999999999</v>
      </c>
      <c r="Q88">
        <v>401242.51</v>
      </c>
      <c r="R88" s="2">
        <v>0.11782246818453944</v>
      </c>
    </row>
    <row r="89" spans="1:18" x14ac:dyDescent="0.15">
      <c r="A89" t="s">
        <v>36</v>
      </c>
      <c r="B89" t="s">
        <v>26</v>
      </c>
      <c r="C89">
        <v>1257606.77</v>
      </c>
      <c r="D89">
        <v>334364.34639999998</v>
      </c>
      <c r="E89">
        <v>179722.49940000131</v>
      </c>
      <c r="F89">
        <v>387064.91</v>
      </c>
      <c r="G89">
        <v>561318.13</v>
      </c>
      <c r="H89">
        <v>125915.5</v>
      </c>
      <c r="I89">
        <v>74301.95</v>
      </c>
      <c r="J89">
        <v>106069.06</v>
      </c>
      <c r="K89">
        <v>153444.91</v>
      </c>
      <c r="L89">
        <v>801977.23</v>
      </c>
      <c r="M89">
        <v>893561.41</v>
      </c>
      <c r="N89">
        <v>63767.79</v>
      </c>
      <c r="O89">
        <v>0</v>
      </c>
      <c r="P89">
        <v>26596.95</v>
      </c>
      <c r="Q89">
        <v>208408.47</v>
      </c>
      <c r="R89" s="2">
        <v>0.12254221952553618</v>
      </c>
    </row>
    <row r="90" spans="1:18" x14ac:dyDescent="0.15">
      <c r="A90" t="s">
        <v>36</v>
      </c>
      <c r="B90" t="s">
        <v>27</v>
      </c>
      <c r="C90">
        <v>721541.29</v>
      </c>
      <c r="D90">
        <v>391189.66580000002</v>
      </c>
      <c r="E90">
        <v>119842.9058999999</v>
      </c>
      <c r="F90">
        <v>122324.87</v>
      </c>
      <c r="G90">
        <v>92582.079999999987</v>
      </c>
      <c r="H90">
        <v>126229.91</v>
      </c>
      <c r="I90">
        <v>67131.27</v>
      </c>
      <c r="J90">
        <v>308460.19</v>
      </c>
      <c r="K90">
        <v>316768.65000000002</v>
      </c>
      <c r="L90">
        <v>101290.37</v>
      </c>
      <c r="M90">
        <v>41576.339999999997</v>
      </c>
      <c r="N90">
        <v>13710.12</v>
      </c>
      <c r="O90">
        <v>0</v>
      </c>
      <c r="P90">
        <v>60867.17</v>
      </c>
      <c r="Q90">
        <v>77266.009999999995</v>
      </c>
      <c r="R90" s="2">
        <v>0.1013243325323363</v>
      </c>
    </row>
    <row r="91" spans="1:18" x14ac:dyDescent="0.15">
      <c r="A91" t="s">
        <v>36</v>
      </c>
      <c r="B91" t="s">
        <v>28</v>
      </c>
      <c r="C91">
        <v>4605708.43</v>
      </c>
      <c r="D91">
        <v>2793974.8149000001</v>
      </c>
      <c r="E91">
        <v>1439837.701899986</v>
      </c>
      <c r="F91">
        <v>613525.48</v>
      </c>
      <c r="G91">
        <v>445983.96</v>
      </c>
      <c r="H91">
        <v>885481.1</v>
      </c>
      <c r="I91">
        <v>1548201.06</v>
      </c>
      <c r="J91">
        <v>1070557.9099999999</v>
      </c>
      <c r="K91">
        <v>1578728.09</v>
      </c>
      <c r="L91">
        <v>188427.51</v>
      </c>
      <c r="M91">
        <v>996572.53</v>
      </c>
      <c r="N91">
        <v>1357378.22</v>
      </c>
      <c r="O91">
        <v>160750</v>
      </c>
      <c r="P91">
        <v>118749.02</v>
      </c>
      <c r="Q91">
        <v>1341751.3799999999</v>
      </c>
      <c r="R91" s="2">
        <v>9.6995931274763567E-2</v>
      </c>
    </row>
    <row r="92" spans="1:18" x14ac:dyDescent="0.15">
      <c r="A92" t="s">
        <v>37</v>
      </c>
      <c r="B92" t="s">
        <v>19</v>
      </c>
      <c r="C92">
        <v>2591645.44</v>
      </c>
      <c r="D92">
        <v>932968.94449999998</v>
      </c>
      <c r="E92">
        <v>159396.0013999842</v>
      </c>
      <c r="F92">
        <v>600172.63</v>
      </c>
      <c r="G92">
        <v>647244.49</v>
      </c>
      <c r="H92">
        <v>451245.6</v>
      </c>
      <c r="I92">
        <v>93484.95</v>
      </c>
      <c r="J92">
        <v>800110.2</v>
      </c>
      <c r="K92">
        <v>651290.81000000006</v>
      </c>
      <c r="L92">
        <v>384463.51</v>
      </c>
      <c r="M92">
        <v>396524.84</v>
      </c>
      <c r="N92">
        <v>388113.71</v>
      </c>
      <c r="O92">
        <v>0</v>
      </c>
      <c r="P92">
        <v>208805.85</v>
      </c>
      <c r="Q92">
        <v>907359.34999999986</v>
      </c>
      <c r="R92" s="2">
        <v>0.1443966854456257</v>
      </c>
    </row>
    <row r="93" spans="1:18" x14ac:dyDescent="0.15">
      <c r="A93" t="s">
        <v>37</v>
      </c>
      <c r="B93" t="s">
        <v>20</v>
      </c>
      <c r="C93">
        <v>2487472.81</v>
      </c>
      <c r="D93">
        <v>778080.83900000004</v>
      </c>
      <c r="E93">
        <v>264693.52940000081</v>
      </c>
      <c r="F93">
        <v>330652.23</v>
      </c>
      <c r="G93">
        <v>400576.96</v>
      </c>
      <c r="H93">
        <v>715941.58</v>
      </c>
      <c r="I93">
        <v>533855.76</v>
      </c>
      <c r="J93">
        <v>510499.81</v>
      </c>
      <c r="K93">
        <v>738251.84</v>
      </c>
      <c r="L93">
        <v>123808.37</v>
      </c>
      <c r="M93">
        <v>156688.13</v>
      </c>
      <c r="N93">
        <v>141290.29999999999</v>
      </c>
      <c r="O93">
        <v>0</v>
      </c>
      <c r="P93">
        <v>483489.52</v>
      </c>
      <c r="Q93">
        <v>1070913.98</v>
      </c>
      <c r="R93" s="2">
        <v>0.11859367663872904</v>
      </c>
    </row>
    <row r="94" spans="1:18" x14ac:dyDescent="0.15">
      <c r="A94" t="s">
        <v>37</v>
      </c>
      <c r="B94" t="s">
        <v>21</v>
      </c>
      <c r="C94">
        <v>42348612.990000002</v>
      </c>
      <c r="D94">
        <v>4517486.1118000001</v>
      </c>
      <c r="E94">
        <v>2154390.1592999999</v>
      </c>
      <c r="F94">
        <v>8427151.3599999994</v>
      </c>
      <c r="G94">
        <v>16335902.630000001</v>
      </c>
      <c r="H94">
        <v>6900866.1600000001</v>
      </c>
      <c r="I94">
        <v>9529078.2200000007</v>
      </c>
      <c r="J94">
        <v>1155586.32</v>
      </c>
      <c r="K94">
        <v>2071.13</v>
      </c>
      <c r="L94">
        <v>693.02</v>
      </c>
      <c r="M94">
        <v>761359.56</v>
      </c>
      <c r="N94">
        <v>3670126.79</v>
      </c>
      <c r="O94">
        <v>37913795.509999998</v>
      </c>
      <c r="P94">
        <v>0</v>
      </c>
      <c r="Q94">
        <v>11274808.75</v>
      </c>
      <c r="R94" s="2">
        <v>0.17986181703255363</v>
      </c>
    </row>
    <row r="95" spans="1:18" x14ac:dyDescent="0.15">
      <c r="A95" t="s">
        <v>37</v>
      </c>
      <c r="B95" t="s">
        <v>22</v>
      </c>
      <c r="C95">
        <v>6654211.4400000004</v>
      </c>
      <c r="D95">
        <v>1117038.7981</v>
      </c>
      <c r="E95">
        <v>523950.51749996212</v>
      </c>
      <c r="F95">
        <v>2160510.4</v>
      </c>
      <c r="G95">
        <v>1601759.98</v>
      </c>
      <c r="H95">
        <v>1003799.88</v>
      </c>
      <c r="I95">
        <v>1227475.71</v>
      </c>
      <c r="J95">
        <v>655238.79</v>
      </c>
      <c r="K95">
        <v>712670.58</v>
      </c>
      <c r="L95">
        <v>628505.24</v>
      </c>
      <c r="M95">
        <v>2692560.93</v>
      </c>
      <c r="N95">
        <v>908186.84</v>
      </c>
      <c r="O95">
        <v>0</v>
      </c>
      <c r="P95">
        <v>1240846.58</v>
      </c>
      <c r="Q95">
        <v>2193916.44</v>
      </c>
      <c r="R95" s="2">
        <v>0.18253912579247283</v>
      </c>
    </row>
    <row r="96" spans="1:18" x14ac:dyDescent="0.15">
      <c r="A96" t="s">
        <v>37</v>
      </c>
      <c r="B96" t="s">
        <v>23</v>
      </c>
      <c r="C96">
        <v>2157229.98</v>
      </c>
      <c r="D96">
        <v>660654.52899999998</v>
      </c>
      <c r="E96">
        <v>-48185.876900023897</v>
      </c>
      <c r="F96">
        <v>447192.02</v>
      </c>
      <c r="G96">
        <v>522555</v>
      </c>
      <c r="H96">
        <v>252517.79</v>
      </c>
      <c r="I96">
        <v>154259.22</v>
      </c>
      <c r="J96">
        <v>777692.59</v>
      </c>
      <c r="K96">
        <v>99320.3</v>
      </c>
      <c r="L96">
        <v>613957.92000000004</v>
      </c>
      <c r="M96">
        <v>482521.9</v>
      </c>
      <c r="N96">
        <v>482769.38</v>
      </c>
      <c r="O96">
        <v>259110.12</v>
      </c>
      <c r="P96">
        <v>104113.91</v>
      </c>
      <c r="Q96">
        <v>160082.10999999999</v>
      </c>
      <c r="R96" s="2">
        <v>0.21141127052165126</v>
      </c>
    </row>
    <row r="97" spans="1:18" x14ac:dyDescent="0.15">
      <c r="A97" t="s">
        <v>37</v>
      </c>
      <c r="B97" t="s">
        <v>24</v>
      </c>
      <c r="C97">
        <v>6750111.1900000004</v>
      </c>
      <c r="D97">
        <v>2614615.2064</v>
      </c>
      <c r="E97">
        <v>747931.98709997209</v>
      </c>
      <c r="F97">
        <v>762557.4</v>
      </c>
      <c r="G97">
        <v>1369282.29</v>
      </c>
      <c r="H97">
        <v>1241271.46</v>
      </c>
      <c r="I97">
        <v>685252.48</v>
      </c>
      <c r="J97">
        <v>2698200.12</v>
      </c>
      <c r="K97">
        <v>767752.37</v>
      </c>
      <c r="L97">
        <v>1072877.82</v>
      </c>
      <c r="M97">
        <v>609660.88</v>
      </c>
      <c r="N97">
        <v>333112.32000000001</v>
      </c>
      <c r="O97">
        <v>469293.33</v>
      </c>
      <c r="P97">
        <v>2562995.96</v>
      </c>
      <c r="Q97">
        <v>849920.88</v>
      </c>
      <c r="R97" s="2">
        <v>0.26030899125387513</v>
      </c>
    </row>
    <row r="98" spans="1:18" x14ac:dyDescent="0.15">
      <c r="A98" t="s">
        <v>37</v>
      </c>
      <c r="B98" t="s">
        <v>25</v>
      </c>
      <c r="C98">
        <v>2579212.71</v>
      </c>
      <c r="D98">
        <v>735355.51619999995</v>
      </c>
      <c r="E98">
        <v>188777.30490000689</v>
      </c>
      <c r="F98">
        <v>496661.84</v>
      </c>
      <c r="G98">
        <v>540683.63000000012</v>
      </c>
      <c r="H98">
        <v>735722.37</v>
      </c>
      <c r="I98">
        <v>275676.76</v>
      </c>
      <c r="J98">
        <v>542304.18000000005</v>
      </c>
      <c r="K98">
        <v>672391.61</v>
      </c>
      <c r="L98">
        <v>164531.35999999999</v>
      </c>
      <c r="M98">
        <v>242075.59</v>
      </c>
      <c r="N98">
        <v>185513.2</v>
      </c>
      <c r="O98">
        <v>0</v>
      </c>
      <c r="P98">
        <v>93262.16</v>
      </c>
      <c r="Q98">
        <v>757342.96000000008</v>
      </c>
      <c r="R98" s="2">
        <v>0.12338055682569112</v>
      </c>
    </row>
    <row r="99" spans="1:18" x14ac:dyDescent="0.15">
      <c r="A99" t="s">
        <v>37</v>
      </c>
      <c r="B99" t="s">
        <v>26</v>
      </c>
      <c r="C99">
        <v>1537256.44</v>
      </c>
      <c r="D99">
        <v>410190.75150000001</v>
      </c>
      <c r="E99">
        <v>255548.90450000131</v>
      </c>
      <c r="F99">
        <v>482734.03</v>
      </c>
      <c r="G99">
        <v>538984.22</v>
      </c>
      <c r="H99">
        <v>330263.81</v>
      </c>
      <c r="I99">
        <v>67337.08</v>
      </c>
      <c r="J99">
        <v>117986.02</v>
      </c>
      <c r="K99">
        <v>150223.29</v>
      </c>
      <c r="L99">
        <v>1015432.53</v>
      </c>
      <c r="M99">
        <v>1096367.68</v>
      </c>
      <c r="N99">
        <v>67809.320000000007</v>
      </c>
      <c r="O99">
        <v>0</v>
      </c>
      <c r="P99">
        <v>9867.5499999999993</v>
      </c>
      <c r="Q99">
        <v>179137.01</v>
      </c>
      <c r="R99" s="2">
        <v>0.1454583840092124</v>
      </c>
    </row>
    <row r="100" spans="1:18" x14ac:dyDescent="0.15">
      <c r="A100" t="s">
        <v>37</v>
      </c>
      <c r="B100" t="s">
        <v>27</v>
      </c>
      <c r="C100">
        <v>754646.65</v>
      </c>
      <c r="D100">
        <v>410398.20909999998</v>
      </c>
      <c r="E100">
        <v>139051.44919999989</v>
      </c>
      <c r="F100">
        <v>108461.17</v>
      </c>
      <c r="G100">
        <v>103147.63</v>
      </c>
      <c r="H100">
        <v>139949.53</v>
      </c>
      <c r="I100">
        <v>86048.930000000008</v>
      </c>
      <c r="J100">
        <v>317590.84999999998</v>
      </c>
      <c r="K100">
        <v>319759.17</v>
      </c>
      <c r="L100">
        <v>105668.82</v>
      </c>
      <c r="M100">
        <v>43131.18</v>
      </c>
      <c r="N100">
        <v>15625.24</v>
      </c>
      <c r="O100">
        <v>0</v>
      </c>
      <c r="P100">
        <v>58893.32</v>
      </c>
      <c r="Q100">
        <v>101177.26</v>
      </c>
      <c r="R100" s="2">
        <v>0.10656152441513465</v>
      </c>
    </row>
    <row r="101" spans="1:18" x14ac:dyDescent="0.15">
      <c r="A101" t="s">
        <v>37</v>
      </c>
      <c r="B101" t="s">
        <v>28</v>
      </c>
      <c r="C101">
        <v>3970231.86</v>
      </c>
      <c r="D101">
        <v>2298272.0734000001</v>
      </c>
      <c r="E101">
        <v>944134.96039998601</v>
      </c>
      <c r="F101">
        <v>689658.49</v>
      </c>
      <c r="G101">
        <v>505868.33</v>
      </c>
      <c r="H101">
        <v>615721.1</v>
      </c>
      <c r="I101">
        <v>782916.09</v>
      </c>
      <c r="J101">
        <v>1090706.3</v>
      </c>
      <c r="K101">
        <v>1636904</v>
      </c>
      <c r="L101">
        <v>167635.43</v>
      </c>
      <c r="M101">
        <v>415606.2</v>
      </c>
      <c r="N101">
        <v>1130359.54</v>
      </c>
      <c r="O101">
        <v>174000</v>
      </c>
      <c r="P101">
        <v>143229.17000000001</v>
      </c>
      <c r="Q101">
        <v>746979.75</v>
      </c>
      <c r="R101" s="2">
        <v>8.3947750679897432E-2</v>
      </c>
    </row>
    <row r="102" spans="1:18" x14ac:dyDescent="0.15">
      <c r="A102" t="s">
        <v>38</v>
      </c>
      <c r="B102" t="s">
        <v>19</v>
      </c>
      <c r="C102">
        <v>2279441.6800000002</v>
      </c>
      <c r="D102">
        <v>917054.92280000006</v>
      </c>
      <c r="E102">
        <v>143481.97969998431</v>
      </c>
      <c r="F102">
        <v>592523.80999999994</v>
      </c>
      <c r="G102">
        <v>586269.78</v>
      </c>
      <c r="H102">
        <v>182413.36</v>
      </c>
      <c r="I102">
        <v>91345.05</v>
      </c>
      <c r="J102">
        <v>811058.33</v>
      </c>
      <c r="K102">
        <v>673972.05</v>
      </c>
      <c r="L102">
        <v>356662.84</v>
      </c>
      <c r="M102">
        <v>426644.77</v>
      </c>
      <c r="N102">
        <v>492952.15</v>
      </c>
      <c r="O102">
        <v>2500</v>
      </c>
      <c r="P102">
        <v>210697.99</v>
      </c>
      <c r="Q102">
        <v>714433.52</v>
      </c>
      <c r="R102" s="2">
        <v>0.12650362769583465</v>
      </c>
    </row>
    <row r="103" spans="1:18" x14ac:dyDescent="0.15">
      <c r="A103" t="s">
        <v>38</v>
      </c>
      <c r="B103" t="s">
        <v>20</v>
      </c>
      <c r="C103">
        <v>1722775.76</v>
      </c>
      <c r="D103">
        <v>680871.18489999999</v>
      </c>
      <c r="E103">
        <v>167483.8753000008</v>
      </c>
      <c r="F103">
        <v>305182.8</v>
      </c>
      <c r="G103">
        <v>363278.35</v>
      </c>
      <c r="H103">
        <v>248552.57</v>
      </c>
      <c r="I103">
        <v>306959.87</v>
      </c>
      <c r="J103">
        <v>504950.71</v>
      </c>
      <c r="K103">
        <v>716728.68</v>
      </c>
      <c r="L103">
        <v>93862.52</v>
      </c>
      <c r="M103">
        <v>146407.64000000001</v>
      </c>
      <c r="N103">
        <v>151733.60999999999</v>
      </c>
      <c r="O103">
        <v>0</v>
      </c>
      <c r="P103">
        <v>435177.39</v>
      </c>
      <c r="Q103">
        <v>583137.19000000006</v>
      </c>
      <c r="R103" s="2">
        <v>8.545431724200625E-2</v>
      </c>
    </row>
    <row r="104" spans="1:18" x14ac:dyDescent="0.15">
      <c r="A104" t="s">
        <v>38</v>
      </c>
      <c r="B104" t="s">
        <v>21</v>
      </c>
      <c r="C104">
        <v>44469403.549999997</v>
      </c>
      <c r="D104">
        <v>4422486.2566</v>
      </c>
      <c r="E104">
        <v>2059390.3041000001</v>
      </c>
      <c r="F104">
        <v>13395591.91</v>
      </c>
      <c r="G104">
        <v>12773988.039999999</v>
      </c>
      <c r="H104">
        <v>7532584.5500000007</v>
      </c>
      <c r="I104">
        <v>9360178.1300000008</v>
      </c>
      <c r="J104">
        <v>1407053.52</v>
      </c>
      <c r="K104">
        <v>2022.45</v>
      </c>
      <c r="L104">
        <v>756.02</v>
      </c>
      <c r="M104">
        <v>839155.88</v>
      </c>
      <c r="N104">
        <v>3401402.19</v>
      </c>
      <c r="O104">
        <v>40226675.030000001</v>
      </c>
      <c r="P104">
        <v>0</v>
      </c>
      <c r="Q104">
        <v>13497640.119999999</v>
      </c>
      <c r="R104" s="2">
        <v>0.18672300002151257</v>
      </c>
    </row>
    <row r="105" spans="1:18" x14ac:dyDescent="0.15">
      <c r="A105" t="s">
        <v>38</v>
      </c>
      <c r="B105" t="s">
        <v>22</v>
      </c>
      <c r="C105">
        <v>6729911.9900000002</v>
      </c>
      <c r="D105">
        <v>985568.08290000004</v>
      </c>
      <c r="E105">
        <v>392479.80229996209</v>
      </c>
      <c r="F105">
        <v>2267954.4900000002</v>
      </c>
      <c r="G105">
        <v>1749921.78</v>
      </c>
      <c r="H105">
        <v>1001509.79</v>
      </c>
      <c r="I105">
        <v>1074290.99</v>
      </c>
      <c r="J105">
        <v>609257.96</v>
      </c>
      <c r="K105">
        <v>745801.04</v>
      </c>
      <c r="L105">
        <v>687432.18</v>
      </c>
      <c r="M105">
        <v>2901074.13</v>
      </c>
      <c r="N105">
        <v>825253.12</v>
      </c>
      <c r="O105">
        <v>0</v>
      </c>
      <c r="P105">
        <v>1350854.25</v>
      </c>
      <c r="Q105">
        <v>2391620.3199999998</v>
      </c>
      <c r="R105" s="2">
        <v>0.18664692874022251</v>
      </c>
    </row>
    <row r="106" spans="1:18" x14ac:dyDescent="0.15">
      <c r="A106" t="s">
        <v>38</v>
      </c>
      <c r="B106" t="s">
        <v>23</v>
      </c>
      <c r="C106">
        <v>2502586.5299999998</v>
      </c>
      <c r="D106">
        <v>715021.88069999998</v>
      </c>
      <c r="E106">
        <v>6181.4747999761021</v>
      </c>
      <c r="F106">
        <v>450712.49</v>
      </c>
      <c r="G106">
        <v>539510.99</v>
      </c>
      <c r="H106">
        <v>490790.49</v>
      </c>
      <c r="I106">
        <v>154120.65</v>
      </c>
      <c r="J106">
        <v>801894.5</v>
      </c>
      <c r="K106">
        <v>89679.43</v>
      </c>
      <c r="L106">
        <v>681585.58</v>
      </c>
      <c r="M106">
        <v>530703.28</v>
      </c>
      <c r="N106">
        <v>485875.26</v>
      </c>
      <c r="O106">
        <v>402125.94</v>
      </c>
      <c r="P106">
        <v>109735.8</v>
      </c>
      <c r="Q106">
        <v>547213.85</v>
      </c>
      <c r="R106" s="2">
        <v>0.24681464955828331</v>
      </c>
    </row>
    <row r="107" spans="1:18" x14ac:dyDescent="0.15">
      <c r="A107" t="s">
        <v>38</v>
      </c>
      <c r="B107" t="s">
        <v>24</v>
      </c>
      <c r="C107">
        <v>6816868.0800000001</v>
      </c>
      <c r="D107">
        <v>2649971.6779999998</v>
      </c>
      <c r="E107">
        <v>783288.4586999719</v>
      </c>
      <c r="F107">
        <v>760665.16999999993</v>
      </c>
      <c r="G107">
        <v>580888.69999999995</v>
      </c>
      <c r="H107">
        <v>1259921.77</v>
      </c>
      <c r="I107">
        <v>696934.46000000008</v>
      </c>
      <c r="J107">
        <v>2747300.51</v>
      </c>
      <c r="K107">
        <v>809560.26</v>
      </c>
      <c r="L107">
        <v>1224808.27</v>
      </c>
      <c r="M107">
        <v>617896.35</v>
      </c>
      <c r="N107">
        <v>335727.35</v>
      </c>
      <c r="O107">
        <v>244693.33</v>
      </c>
      <c r="P107">
        <v>2648346.7599999998</v>
      </c>
      <c r="Q107">
        <v>1229527.56</v>
      </c>
      <c r="R107" s="2">
        <v>0.26763098656456252</v>
      </c>
    </row>
    <row r="108" spans="1:18" x14ac:dyDescent="0.15">
      <c r="A108" t="s">
        <v>38</v>
      </c>
      <c r="B108" t="s">
        <v>25</v>
      </c>
      <c r="C108">
        <v>2310833.11</v>
      </c>
      <c r="D108">
        <v>706727.91249999998</v>
      </c>
      <c r="E108">
        <v>160149.70120000691</v>
      </c>
      <c r="F108">
        <v>471583.75</v>
      </c>
      <c r="G108">
        <v>359053.05</v>
      </c>
      <c r="H108">
        <v>838724.87</v>
      </c>
      <c r="I108">
        <v>90454.24</v>
      </c>
      <c r="J108">
        <v>554530.23</v>
      </c>
      <c r="K108">
        <v>672562.56</v>
      </c>
      <c r="L108">
        <v>153475.99</v>
      </c>
      <c r="M108">
        <v>214064.07</v>
      </c>
      <c r="N108">
        <v>248682.68</v>
      </c>
      <c r="O108">
        <v>0</v>
      </c>
      <c r="P108">
        <v>50306.720000000001</v>
      </c>
      <c r="Q108">
        <v>789555.88</v>
      </c>
      <c r="R108" s="2">
        <v>0.1108854456420471</v>
      </c>
    </row>
    <row r="109" spans="1:18" x14ac:dyDescent="0.15">
      <c r="A109" t="s">
        <v>38</v>
      </c>
      <c r="B109" t="s">
        <v>26</v>
      </c>
      <c r="C109">
        <v>1669595.59</v>
      </c>
      <c r="D109">
        <v>505615.95280000003</v>
      </c>
      <c r="E109">
        <v>350974.1058000013</v>
      </c>
      <c r="F109">
        <v>310005.08</v>
      </c>
      <c r="G109">
        <v>636896.09000000008</v>
      </c>
      <c r="H109">
        <v>558991.74</v>
      </c>
      <c r="I109">
        <v>50937.75</v>
      </c>
      <c r="J109">
        <v>115749.59</v>
      </c>
      <c r="K109">
        <v>150413.04</v>
      </c>
      <c r="L109">
        <v>1165380.73</v>
      </c>
      <c r="M109">
        <v>1226162.22</v>
      </c>
      <c r="N109">
        <v>67382.61</v>
      </c>
      <c r="O109">
        <v>0</v>
      </c>
      <c r="P109">
        <v>9956.27</v>
      </c>
      <c r="Q109">
        <v>132707.14000000001</v>
      </c>
      <c r="R109" s="2">
        <v>0.16104340975667836</v>
      </c>
    </row>
    <row r="110" spans="1:18" x14ac:dyDescent="0.15">
      <c r="A110" t="s">
        <v>38</v>
      </c>
      <c r="B110" t="s">
        <v>27</v>
      </c>
      <c r="C110">
        <v>783560.24</v>
      </c>
      <c r="D110">
        <v>413621.83970000001</v>
      </c>
      <c r="E110">
        <v>142275.07979999989</v>
      </c>
      <c r="F110">
        <v>118079.47</v>
      </c>
      <c r="G110">
        <v>110595.56</v>
      </c>
      <c r="H110">
        <v>120778.7</v>
      </c>
      <c r="I110">
        <v>100736.49</v>
      </c>
      <c r="J110">
        <v>326535.92</v>
      </c>
      <c r="K110">
        <v>320403.67</v>
      </c>
      <c r="L110">
        <v>117162.76</v>
      </c>
      <c r="M110">
        <v>54309.62</v>
      </c>
      <c r="N110">
        <v>7579.94</v>
      </c>
      <c r="O110">
        <v>0</v>
      </c>
      <c r="P110">
        <v>65422.43</v>
      </c>
      <c r="Q110">
        <v>222410.53</v>
      </c>
      <c r="R110" s="2">
        <v>0.11041380662289205</v>
      </c>
    </row>
    <row r="111" spans="1:18" x14ac:dyDescent="0.15">
      <c r="A111" t="s">
        <v>38</v>
      </c>
      <c r="B111" t="s">
        <v>28</v>
      </c>
      <c r="C111">
        <v>3932036.32</v>
      </c>
      <c r="D111">
        <v>2458802.2722</v>
      </c>
      <c r="E111">
        <v>1104665.1591999859</v>
      </c>
      <c r="F111">
        <v>692567.2</v>
      </c>
      <c r="G111">
        <v>571213.30000000005</v>
      </c>
      <c r="H111">
        <v>431666.81</v>
      </c>
      <c r="I111">
        <v>1082043.1499999999</v>
      </c>
      <c r="J111">
        <v>1117653.8999999999</v>
      </c>
      <c r="K111">
        <v>1696907.55</v>
      </c>
      <c r="L111">
        <v>189828.24</v>
      </c>
      <c r="M111">
        <v>476094.52</v>
      </c>
      <c r="N111">
        <v>865795.35000000009</v>
      </c>
      <c r="O111">
        <v>199250</v>
      </c>
      <c r="P111">
        <v>174972.68</v>
      </c>
      <c r="Q111">
        <v>594746.94999999995</v>
      </c>
      <c r="R111" s="2">
        <v>8.2940851750454903E-2</v>
      </c>
    </row>
    <row r="112" spans="1:18" x14ac:dyDescent="0.15">
      <c r="A112" t="s">
        <v>39</v>
      </c>
      <c r="B112" t="s">
        <v>19</v>
      </c>
      <c r="C112">
        <v>2091257.2</v>
      </c>
      <c r="D112">
        <v>912493.88040000002</v>
      </c>
      <c r="E112">
        <v>138920.9372999843</v>
      </c>
      <c r="F112">
        <v>522253.25</v>
      </c>
      <c r="G112">
        <v>508302.37</v>
      </c>
      <c r="H112">
        <v>175931.98</v>
      </c>
      <c r="I112">
        <v>92429.99</v>
      </c>
      <c r="J112">
        <v>793215.32000000007</v>
      </c>
      <c r="K112">
        <v>669198.79</v>
      </c>
      <c r="L112">
        <v>396671.1</v>
      </c>
      <c r="M112">
        <v>431308.62</v>
      </c>
      <c r="N112">
        <v>322032.26</v>
      </c>
      <c r="O112">
        <v>5000</v>
      </c>
      <c r="P112">
        <v>234447.92</v>
      </c>
      <c r="Q112">
        <v>818047.65</v>
      </c>
      <c r="R112" s="2">
        <v>0.11663795232725821</v>
      </c>
    </row>
    <row r="113" spans="1:18" x14ac:dyDescent="0.15">
      <c r="A113" t="s">
        <v>39</v>
      </c>
      <c r="B113" t="s">
        <v>20</v>
      </c>
      <c r="C113">
        <v>1522137.89</v>
      </c>
      <c r="D113">
        <v>651730.70810000005</v>
      </c>
      <c r="E113">
        <v>138343.3985000008</v>
      </c>
      <c r="F113">
        <v>374396.84</v>
      </c>
      <c r="G113">
        <v>227239.33</v>
      </c>
      <c r="H113">
        <v>279968.90000000002</v>
      </c>
      <c r="I113">
        <v>98742.57</v>
      </c>
      <c r="J113">
        <v>534846.53</v>
      </c>
      <c r="K113">
        <v>708190.41</v>
      </c>
      <c r="L113">
        <v>101751.78</v>
      </c>
      <c r="M113">
        <v>154286.26</v>
      </c>
      <c r="N113">
        <v>156975.17000000001</v>
      </c>
      <c r="O113">
        <v>0</v>
      </c>
      <c r="P113">
        <v>319578.25</v>
      </c>
      <c r="Q113">
        <v>648794.80999999994</v>
      </c>
      <c r="R113" s="2">
        <v>7.7817826424779066E-2</v>
      </c>
    </row>
    <row r="114" spans="1:18" x14ac:dyDescent="0.15">
      <c r="A114" t="s">
        <v>39</v>
      </c>
      <c r="B114" t="s">
        <v>21</v>
      </c>
      <c r="C114">
        <v>41370515.380000003</v>
      </c>
      <c r="D114">
        <v>4682833.1778999995</v>
      </c>
      <c r="E114">
        <v>2319737.2253999999</v>
      </c>
      <c r="F114">
        <v>10398751.949999999</v>
      </c>
      <c r="G114">
        <v>11697367.43</v>
      </c>
      <c r="H114">
        <v>7093811.0199999996</v>
      </c>
      <c r="I114">
        <v>10371850.300000001</v>
      </c>
      <c r="J114">
        <v>1808734.68</v>
      </c>
      <c r="K114">
        <v>1948.25</v>
      </c>
      <c r="L114">
        <v>819.02</v>
      </c>
      <c r="M114">
        <v>916952.2</v>
      </c>
      <c r="N114">
        <v>3133654.39</v>
      </c>
      <c r="O114">
        <v>37317812.539999999</v>
      </c>
      <c r="P114">
        <v>0</v>
      </c>
      <c r="Q114">
        <v>28754427.370000001</v>
      </c>
      <c r="R114" s="2">
        <v>0.17219578428671412</v>
      </c>
    </row>
    <row r="115" spans="1:18" x14ac:dyDescent="0.15">
      <c r="A115" t="s">
        <v>39</v>
      </c>
      <c r="B115" t="s">
        <v>22</v>
      </c>
      <c r="C115">
        <v>15273060.99</v>
      </c>
      <c r="D115">
        <v>1044199.6343</v>
      </c>
      <c r="E115">
        <v>451111.35369996208</v>
      </c>
      <c r="F115">
        <v>10927751.779999999</v>
      </c>
      <c r="G115">
        <v>1649821.89</v>
      </c>
      <c r="H115">
        <v>919768.66</v>
      </c>
      <c r="I115">
        <v>1128923.79</v>
      </c>
      <c r="J115">
        <v>522549.69</v>
      </c>
      <c r="K115">
        <v>766455.54</v>
      </c>
      <c r="L115">
        <v>656215.98</v>
      </c>
      <c r="M115">
        <v>2710132.55</v>
      </c>
      <c r="N115">
        <v>906455.13</v>
      </c>
      <c r="O115">
        <v>0</v>
      </c>
      <c r="P115">
        <v>9821744.0199999996</v>
      </c>
      <c r="Q115">
        <v>3261755.86</v>
      </c>
      <c r="R115" s="2">
        <v>0.4220437101210866</v>
      </c>
    </row>
    <row r="116" spans="1:18" x14ac:dyDescent="0.15">
      <c r="A116" t="s">
        <v>39</v>
      </c>
      <c r="B116" t="s">
        <v>23</v>
      </c>
      <c r="C116">
        <v>2272983.56</v>
      </c>
      <c r="D116">
        <v>752798.71389999997</v>
      </c>
      <c r="E116">
        <v>43958.307999976103</v>
      </c>
      <c r="F116">
        <v>319374.51</v>
      </c>
      <c r="G116">
        <v>352821.08</v>
      </c>
      <c r="H116">
        <v>561212.26</v>
      </c>
      <c r="I116">
        <v>215163.51</v>
      </c>
      <c r="J116">
        <v>818223.61</v>
      </c>
      <c r="K116">
        <v>101528.36</v>
      </c>
      <c r="L116">
        <v>788722.01</v>
      </c>
      <c r="M116">
        <v>523833.18</v>
      </c>
      <c r="N116">
        <v>495659</v>
      </c>
      <c r="O116">
        <v>153822.26</v>
      </c>
      <c r="P116">
        <v>78676.56</v>
      </c>
      <c r="Q116">
        <v>1043339.26</v>
      </c>
      <c r="R116" s="2">
        <v>0.22904495809243147</v>
      </c>
    </row>
    <row r="117" spans="1:18" x14ac:dyDescent="0.15">
      <c r="A117" t="s">
        <v>39</v>
      </c>
      <c r="B117" t="s">
        <v>24</v>
      </c>
      <c r="C117">
        <v>6437400.1600000001</v>
      </c>
      <c r="D117">
        <v>2713889.8903000001</v>
      </c>
      <c r="E117">
        <v>847206.67099997215</v>
      </c>
      <c r="F117">
        <v>852710.66</v>
      </c>
      <c r="G117">
        <v>689786.35</v>
      </c>
      <c r="H117">
        <v>1066040.6200000001</v>
      </c>
      <c r="I117">
        <v>1100731.8899999999</v>
      </c>
      <c r="J117">
        <v>2719375.42</v>
      </c>
      <c r="K117">
        <v>836817.16</v>
      </c>
      <c r="L117">
        <v>917084.58</v>
      </c>
      <c r="M117">
        <v>542772</v>
      </c>
      <c r="N117">
        <v>348824.34</v>
      </c>
      <c r="O117">
        <v>501643.33</v>
      </c>
      <c r="P117">
        <v>2289896.7000000002</v>
      </c>
      <c r="Q117">
        <v>1237111.1100000001</v>
      </c>
      <c r="R117" s="2">
        <v>0.25539730700267593</v>
      </c>
    </row>
    <row r="118" spans="1:18" x14ac:dyDescent="0.15">
      <c r="A118" t="s">
        <v>39</v>
      </c>
      <c r="B118" t="s">
        <v>25</v>
      </c>
      <c r="C118">
        <v>1982494.47</v>
      </c>
      <c r="D118">
        <v>699123.37769999995</v>
      </c>
      <c r="E118">
        <v>152545.16640000691</v>
      </c>
      <c r="F118">
        <v>463768.2</v>
      </c>
      <c r="G118">
        <v>389591.7</v>
      </c>
      <c r="H118">
        <v>479473.35</v>
      </c>
      <c r="I118">
        <v>95629.759999999995</v>
      </c>
      <c r="J118">
        <v>566667.77</v>
      </c>
      <c r="K118">
        <v>692230.61</v>
      </c>
      <c r="L118">
        <v>158992.38</v>
      </c>
      <c r="M118">
        <v>211880.12</v>
      </c>
      <c r="N118">
        <v>231857.78</v>
      </c>
      <c r="O118">
        <v>0</v>
      </c>
      <c r="P118">
        <v>47462.28</v>
      </c>
      <c r="Q118">
        <v>839080.04999999993</v>
      </c>
      <c r="R118" s="2">
        <v>9.5239312067392223E-2</v>
      </c>
    </row>
    <row r="119" spans="1:18" x14ac:dyDescent="0.15">
      <c r="A119" t="s">
        <v>39</v>
      </c>
      <c r="B119" t="s">
        <v>26</v>
      </c>
      <c r="C119">
        <v>1855447.83</v>
      </c>
      <c r="D119">
        <v>611208.09959999996</v>
      </c>
      <c r="E119">
        <v>456566.25260000129</v>
      </c>
      <c r="F119">
        <v>312339.40000000002</v>
      </c>
      <c r="G119">
        <v>564333.68999999994</v>
      </c>
      <c r="H119">
        <v>724720.05999999994</v>
      </c>
      <c r="I119">
        <v>122386.83</v>
      </c>
      <c r="J119">
        <v>121910.92</v>
      </c>
      <c r="K119">
        <v>157465.98000000001</v>
      </c>
      <c r="L119">
        <v>1323336.5900000001</v>
      </c>
      <c r="M119">
        <v>1385681.41</v>
      </c>
      <c r="N119">
        <v>75283.75</v>
      </c>
      <c r="O119">
        <v>0</v>
      </c>
      <c r="P119">
        <v>6716.87</v>
      </c>
      <c r="Q119">
        <v>955090.54999999993</v>
      </c>
      <c r="R119" s="2">
        <v>0.18181257778049731</v>
      </c>
    </row>
    <row r="120" spans="1:18" x14ac:dyDescent="0.15">
      <c r="A120" t="s">
        <v>39</v>
      </c>
      <c r="B120" t="s">
        <v>27</v>
      </c>
      <c r="C120">
        <v>711981.24</v>
      </c>
      <c r="D120">
        <v>414224.42060000001</v>
      </c>
      <c r="E120">
        <v>142877.66069999989</v>
      </c>
      <c r="F120">
        <v>147448.46</v>
      </c>
      <c r="G120">
        <v>102100.23</v>
      </c>
      <c r="H120">
        <v>34803.07</v>
      </c>
      <c r="I120">
        <v>91923.33</v>
      </c>
      <c r="J120">
        <v>334887.73</v>
      </c>
      <c r="K120">
        <v>303826.36</v>
      </c>
      <c r="L120">
        <v>122291.02</v>
      </c>
      <c r="M120">
        <v>54476.29</v>
      </c>
      <c r="N120">
        <v>8433.14</v>
      </c>
      <c r="O120">
        <v>0</v>
      </c>
      <c r="P120">
        <v>79468.45</v>
      </c>
      <c r="Q120">
        <v>209443.59</v>
      </c>
      <c r="R120" s="2">
        <v>9.9914174412278525E-2</v>
      </c>
    </row>
    <row r="121" spans="1:18" x14ac:dyDescent="0.15">
      <c r="A121" t="s">
        <v>39</v>
      </c>
      <c r="B121" t="s">
        <v>28</v>
      </c>
      <c r="C121">
        <v>4030376.65</v>
      </c>
      <c r="D121">
        <v>2529714.8262</v>
      </c>
      <c r="E121">
        <v>1175577.7131999859</v>
      </c>
      <c r="F121">
        <v>715075.94</v>
      </c>
      <c r="G121">
        <v>563571.48</v>
      </c>
      <c r="H121">
        <v>423433.9</v>
      </c>
      <c r="I121">
        <v>1125308.1000000001</v>
      </c>
      <c r="J121">
        <v>1149672.6000000001</v>
      </c>
      <c r="K121">
        <v>1710221.58</v>
      </c>
      <c r="L121">
        <v>180474.91</v>
      </c>
      <c r="M121">
        <v>449242.55</v>
      </c>
      <c r="N121">
        <v>826573.18</v>
      </c>
      <c r="O121">
        <v>237500</v>
      </c>
      <c r="P121">
        <v>233583.69</v>
      </c>
      <c r="Q121">
        <v>867491.69000000006</v>
      </c>
      <c r="R121" s="2">
        <v>8.52138497549942E-2</v>
      </c>
    </row>
    <row r="122" spans="1:18" x14ac:dyDescent="0.15">
      <c r="A122" t="s">
        <v>40</v>
      </c>
      <c r="B122" t="s">
        <v>19</v>
      </c>
      <c r="C122">
        <v>1656164.26</v>
      </c>
      <c r="D122">
        <v>819575.27639999997</v>
      </c>
      <c r="E122">
        <v>46002.333299984217</v>
      </c>
      <c r="F122">
        <v>368838.65</v>
      </c>
      <c r="G122">
        <v>290340.95</v>
      </c>
      <c r="H122">
        <v>92517.7</v>
      </c>
      <c r="I122">
        <v>76492.350000000006</v>
      </c>
      <c r="J122">
        <v>712496.77</v>
      </c>
      <c r="K122">
        <v>592585.54</v>
      </c>
      <c r="L122">
        <v>304644.84000000003</v>
      </c>
      <c r="M122">
        <v>328110.39</v>
      </c>
      <c r="N122">
        <v>148191.92000000001</v>
      </c>
      <c r="O122">
        <v>0</v>
      </c>
      <c r="P122">
        <v>215589.85</v>
      </c>
      <c r="Q122">
        <v>629121.89</v>
      </c>
      <c r="R122" s="2">
        <v>9.3038828374413851E-2</v>
      </c>
    </row>
    <row r="123" spans="1:18" x14ac:dyDescent="0.15">
      <c r="A123" t="s">
        <v>40</v>
      </c>
      <c r="B123" t="s">
        <v>20</v>
      </c>
      <c r="C123">
        <v>1126130.74</v>
      </c>
      <c r="D123">
        <v>572090.05590000004</v>
      </c>
      <c r="E123">
        <v>58702.746300000807</v>
      </c>
      <c r="F123">
        <v>211817.89</v>
      </c>
      <c r="G123">
        <v>148670.68</v>
      </c>
      <c r="H123">
        <v>103357.14</v>
      </c>
      <c r="I123">
        <v>86816.95</v>
      </c>
      <c r="J123">
        <v>490276.83</v>
      </c>
      <c r="K123">
        <v>650514.15</v>
      </c>
      <c r="L123">
        <v>80819.83</v>
      </c>
      <c r="M123">
        <v>142435.35999999999</v>
      </c>
      <c r="N123">
        <v>100167.18</v>
      </c>
      <c r="O123">
        <v>0</v>
      </c>
      <c r="P123">
        <v>86504.89</v>
      </c>
      <c r="Q123">
        <v>396773.93</v>
      </c>
      <c r="R123" s="2">
        <v>5.9323185040198581E-2</v>
      </c>
    </row>
    <row r="124" spans="1:18" x14ac:dyDescent="0.15">
      <c r="A124" t="s">
        <v>40</v>
      </c>
      <c r="B124" t="s">
        <v>21</v>
      </c>
      <c r="C124">
        <v>32499109.010000002</v>
      </c>
      <c r="D124">
        <v>1775112.0807</v>
      </c>
      <c r="E124">
        <v>-587983.87180000008</v>
      </c>
      <c r="F124">
        <v>15635206.67</v>
      </c>
      <c r="G124">
        <v>7777393.0899999999</v>
      </c>
      <c r="H124">
        <v>2185348.46</v>
      </c>
      <c r="I124">
        <v>903339.54</v>
      </c>
      <c r="J124">
        <v>1276441.25</v>
      </c>
      <c r="K124">
        <v>1779</v>
      </c>
      <c r="L124">
        <v>63.02</v>
      </c>
      <c r="M124">
        <v>975018.37</v>
      </c>
      <c r="N124">
        <v>2225.02</v>
      </c>
      <c r="O124">
        <v>31519938.620000001</v>
      </c>
      <c r="P124">
        <v>0</v>
      </c>
      <c r="Q124">
        <v>23032708.390000001</v>
      </c>
      <c r="R124" s="2">
        <v>0.13389973001949027</v>
      </c>
    </row>
    <row r="125" spans="1:18" x14ac:dyDescent="0.15">
      <c r="A125" t="s">
        <v>40</v>
      </c>
      <c r="B125" t="s">
        <v>22</v>
      </c>
      <c r="C125">
        <v>16895145.66</v>
      </c>
      <c r="D125">
        <v>1569795.0863000001</v>
      </c>
      <c r="E125">
        <v>976706.80569996219</v>
      </c>
      <c r="F125">
        <v>4630081.22</v>
      </c>
      <c r="G125">
        <v>9765250.2400000002</v>
      </c>
      <c r="H125">
        <v>666203.73</v>
      </c>
      <c r="I125">
        <v>1021274.97</v>
      </c>
      <c r="J125">
        <v>447704.85</v>
      </c>
      <c r="K125">
        <v>765378.6</v>
      </c>
      <c r="L125">
        <v>535858.48</v>
      </c>
      <c r="M125">
        <v>1908625.37</v>
      </c>
      <c r="N125">
        <v>602774.73</v>
      </c>
      <c r="O125">
        <v>0</v>
      </c>
      <c r="P125">
        <v>12528330.279999999</v>
      </c>
      <c r="Q125">
        <v>2571766.36</v>
      </c>
      <c r="R125" s="2">
        <v>0.46335899173805395</v>
      </c>
    </row>
    <row r="126" spans="1:18" x14ac:dyDescent="0.15">
      <c r="A126" t="s">
        <v>40</v>
      </c>
      <c r="B126" t="s">
        <v>23</v>
      </c>
      <c r="C126">
        <v>1626828.18</v>
      </c>
      <c r="D126">
        <v>578697.42889999994</v>
      </c>
      <c r="E126">
        <v>-130142.97700002389</v>
      </c>
      <c r="F126">
        <v>352397.98</v>
      </c>
      <c r="G126">
        <v>170578.51</v>
      </c>
      <c r="H126">
        <v>263891.64</v>
      </c>
      <c r="I126">
        <v>133453.35</v>
      </c>
      <c r="J126">
        <v>602711.06999999995</v>
      </c>
      <c r="K126">
        <v>86235.540000000008</v>
      </c>
      <c r="L126">
        <v>298259.38</v>
      </c>
      <c r="M126">
        <v>446365.17</v>
      </c>
      <c r="N126">
        <v>388384.9</v>
      </c>
      <c r="O126">
        <v>274454.09999999998</v>
      </c>
      <c r="P126">
        <v>31507.13</v>
      </c>
      <c r="Q126">
        <v>794674.62</v>
      </c>
      <c r="R126" s="2">
        <v>0.16233288824248482</v>
      </c>
    </row>
    <row r="127" spans="1:18" x14ac:dyDescent="0.15">
      <c r="A127" t="s">
        <v>40</v>
      </c>
      <c r="B127" t="s">
        <v>24</v>
      </c>
      <c r="C127">
        <v>6003691.0499999998</v>
      </c>
      <c r="D127">
        <v>2585235.8912</v>
      </c>
      <c r="E127">
        <v>718552.67189997202</v>
      </c>
      <c r="F127">
        <v>822839</v>
      </c>
      <c r="G127">
        <v>902227.01</v>
      </c>
      <c r="H127">
        <v>479768.84</v>
      </c>
      <c r="I127">
        <v>1198639.01</v>
      </c>
      <c r="J127">
        <v>2542927.54</v>
      </c>
      <c r="K127">
        <v>733084.83</v>
      </c>
      <c r="L127">
        <v>591577.13</v>
      </c>
      <c r="M127">
        <v>343718.5</v>
      </c>
      <c r="N127">
        <v>252882.48</v>
      </c>
      <c r="O127">
        <v>778593.33</v>
      </c>
      <c r="P127">
        <v>2269975.87</v>
      </c>
      <c r="Q127">
        <v>1090046.71</v>
      </c>
      <c r="R127" s="2">
        <v>0.24159090188282079</v>
      </c>
    </row>
    <row r="128" spans="1:18" x14ac:dyDescent="0.15">
      <c r="A128" t="s">
        <v>40</v>
      </c>
      <c r="B128" t="s">
        <v>25</v>
      </c>
      <c r="C128">
        <v>1425303.18</v>
      </c>
      <c r="D128">
        <v>579980.57770000002</v>
      </c>
      <c r="E128">
        <v>33402.366400006933</v>
      </c>
      <c r="F128">
        <v>272096.90000000002</v>
      </c>
      <c r="G128">
        <v>302040.73</v>
      </c>
      <c r="H128">
        <v>178818.07</v>
      </c>
      <c r="I128">
        <v>96515.930000000008</v>
      </c>
      <c r="J128">
        <v>474411.75</v>
      </c>
      <c r="K128">
        <v>573003.51</v>
      </c>
      <c r="L128">
        <v>153880.68</v>
      </c>
      <c r="M128">
        <v>200237.17</v>
      </c>
      <c r="N128">
        <v>129736.35</v>
      </c>
      <c r="O128">
        <v>0</v>
      </c>
      <c r="P128">
        <v>34579.230000000003</v>
      </c>
      <c r="Q128">
        <v>798061.72</v>
      </c>
      <c r="R128" s="2">
        <v>6.8672576781888178E-2</v>
      </c>
    </row>
    <row r="129" spans="1:18" x14ac:dyDescent="0.15">
      <c r="A129" t="s">
        <v>40</v>
      </c>
      <c r="B129" t="s">
        <v>26</v>
      </c>
      <c r="C129">
        <v>1272001.97</v>
      </c>
      <c r="D129">
        <v>640300.91190000006</v>
      </c>
      <c r="E129">
        <v>485659.06490000139</v>
      </c>
      <c r="F129">
        <v>355846.59</v>
      </c>
      <c r="G129">
        <v>233831.84</v>
      </c>
      <c r="H129">
        <v>346320.24</v>
      </c>
      <c r="I129">
        <v>194700.46</v>
      </c>
      <c r="J129">
        <v>111193.83</v>
      </c>
      <c r="K129">
        <v>140285.70000000001</v>
      </c>
      <c r="L129">
        <v>791427.35</v>
      </c>
      <c r="M129">
        <v>884340.89</v>
      </c>
      <c r="N129">
        <v>44986.49</v>
      </c>
      <c r="O129">
        <v>0</v>
      </c>
      <c r="P129">
        <v>5314.59</v>
      </c>
      <c r="Q129">
        <v>936130.63</v>
      </c>
      <c r="R129" s="2">
        <v>0.1252992680095773</v>
      </c>
    </row>
    <row r="130" spans="1:18" x14ac:dyDescent="0.15">
      <c r="A130" t="s">
        <v>40</v>
      </c>
      <c r="B130" t="s">
        <v>27</v>
      </c>
      <c r="C130">
        <v>654071.53</v>
      </c>
      <c r="D130">
        <v>382610.3321</v>
      </c>
      <c r="E130">
        <v>111263.57219999989</v>
      </c>
      <c r="F130">
        <v>146403.29</v>
      </c>
      <c r="G130">
        <v>46010.98</v>
      </c>
      <c r="H130">
        <v>33904.74</v>
      </c>
      <c r="I130">
        <v>71275.31</v>
      </c>
      <c r="J130">
        <v>310171.53999999998</v>
      </c>
      <c r="K130">
        <v>280659.71999999997</v>
      </c>
      <c r="L130">
        <v>132393.10999999999</v>
      </c>
      <c r="M130">
        <v>55631.66</v>
      </c>
      <c r="N130">
        <v>7352.27</v>
      </c>
      <c r="O130">
        <v>0</v>
      </c>
      <c r="P130">
        <v>65327.78</v>
      </c>
      <c r="Q130">
        <v>134444.75</v>
      </c>
      <c r="R130" s="2">
        <v>9.0821414606772885E-2</v>
      </c>
    </row>
    <row r="131" spans="1:18" x14ac:dyDescent="0.15">
      <c r="A131" t="s">
        <v>40</v>
      </c>
      <c r="B131" t="s">
        <v>28</v>
      </c>
      <c r="C131">
        <v>3720326.39</v>
      </c>
      <c r="D131">
        <v>2245273.7122</v>
      </c>
      <c r="E131">
        <v>891136.59919998585</v>
      </c>
      <c r="F131">
        <v>590279.34</v>
      </c>
      <c r="G131">
        <v>520557.15</v>
      </c>
      <c r="H131">
        <v>413632.62</v>
      </c>
      <c r="I131">
        <v>1008729.57</v>
      </c>
      <c r="J131">
        <v>994120.7</v>
      </c>
      <c r="K131">
        <v>1558019.59</v>
      </c>
      <c r="L131">
        <v>166219.54</v>
      </c>
      <c r="M131">
        <v>354651.7</v>
      </c>
      <c r="N131">
        <v>778287.74</v>
      </c>
      <c r="O131">
        <v>189399</v>
      </c>
      <c r="P131">
        <v>211722.3</v>
      </c>
      <c r="Q131">
        <v>699485.88</v>
      </c>
      <c r="R131" s="2">
        <v>7.852512811477011E-2</v>
      </c>
    </row>
    <row r="132" spans="1:18" x14ac:dyDescent="0.15">
      <c r="A132" t="s">
        <v>41</v>
      </c>
      <c r="B132" t="s">
        <v>19</v>
      </c>
      <c r="C132">
        <v>1882879.1</v>
      </c>
      <c r="D132">
        <v>842343.78769999999</v>
      </c>
      <c r="E132">
        <v>22768.511300000009</v>
      </c>
      <c r="F132">
        <v>525719.55000000005</v>
      </c>
      <c r="G132">
        <v>335942.40000000002</v>
      </c>
      <c r="H132">
        <v>191867.16</v>
      </c>
      <c r="I132">
        <v>87806.95</v>
      </c>
      <c r="J132">
        <v>723450.37</v>
      </c>
      <c r="K132">
        <v>621657.43999999994</v>
      </c>
      <c r="L132">
        <v>328577.45</v>
      </c>
      <c r="M132">
        <v>315871.7</v>
      </c>
      <c r="N132">
        <v>284072.12</v>
      </c>
      <c r="O132">
        <v>0</v>
      </c>
      <c r="P132">
        <v>214887.85</v>
      </c>
      <c r="Q132">
        <v>376328.73</v>
      </c>
      <c r="R132" s="2">
        <v>0.1064231250691919</v>
      </c>
    </row>
    <row r="133" spans="1:18" x14ac:dyDescent="0.15">
      <c r="A133" t="s">
        <v>41</v>
      </c>
      <c r="B133" t="s">
        <v>20</v>
      </c>
      <c r="C133">
        <v>1321742.3500000001</v>
      </c>
      <c r="D133">
        <v>599896.13470000005</v>
      </c>
      <c r="E133">
        <v>27806.078800000021</v>
      </c>
      <c r="F133">
        <v>427790.93</v>
      </c>
      <c r="G133">
        <v>193855.64</v>
      </c>
      <c r="H133">
        <v>90435.86</v>
      </c>
      <c r="I133">
        <v>112593.15</v>
      </c>
      <c r="J133">
        <v>498772.31</v>
      </c>
      <c r="K133">
        <v>644913.17000000004</v>
      </c>
      <c r="L133">
        <v>85601.69</v>
      </c>
      <c r="M133">
        <v>148054.14000000001</v>
      </c>
      <c r="N133">
        <v>168684.58</v>
      </c>
      <c r="O133">
        <v>15000</v>
      </c>
      <c r="P133">
        <v>190130.57</v>
      </c>
      <c r="Q133">
        <v>163104.79999999999</v>
      </c>
      <c r="R133" s="2">
        <v>9.3372934876843269E-2</v>
      </c>
    </row>
    <row r="134" spans="1:18" x14ac:dyDescent="0.15">
      <c r="A134" t="s">
        <v>41</v>
      </c>
      <c r="B134" t="s">
        <v>21</v>
      </c>
      <c r="C134">
        <v>36336603.859999999</v>
      </c>
      <c r="D134">
        <v>2795117.6211999999</v>
      </c>
      <c r="E134">
        <v>1020005.5405</v>
      </c>
      <c r="F134">
        <v>14149668.27</v>
      </c>
      <c r="G134">
        <v>13925873.73</v>
      </c>
      <c r="H134">
        <v>5425448.0700000003</v>
      </c>
      <c r="I134">
        <v>1044744.51</v>
      </c>
      <c r="J134">
        <v>1790869.28</v>
      </c>
      <c r="K134">
        <v>1808.47</v>
      </c>
      <c r="L134">
        <v>126.02</v>
      </c>
      <c r="M134">
        <v>1052814.69</v>
      </c>
      <c r="N134">
        <v>0</v>
      </c>
      <c r="O134">
        <v>35281832.700000003</v>
      </c>
      <c r="P134">
        <v>0</v>
      </c>
      <c r="Q134">
        <v>7582139.29</v>
      </c>
      <c r="R134" s="2">
        <v>0.1395529728352593</v>
      </c>
    </row>
    <row r="135" spans="1:18" x14ac:dyDescent="0.15">
      <c r="A135" t="s">
        <v>41</v>
      </c>
      <c r="B135" t="s">
        <v>22</v>
      </c>
      <c r="C135">
        <v>19019119.800000001</v>
      </c>
      <c r="D135">
        <v>1874775.6032</v>
      </c>
      <c r="E135">
        <v>304980.51689999987</v>
      </c>
      <c r="F135">
        <v>3673080.38</v>
      </c>
      <c r="G135">
        <v>12660530.869999999</v>
      </c>
      <c r="H135">
        <v>910054.27</v>
      </c>
      <c r="I135">
        <v>1001635.7</v>
      </c>
      <c r="J135">
        <v>562725.76</v>
      </c>
      <c r="K135">
        <v>822739.02</v>
      </c>
      <c r="L135">
        <v>586586.4</v>
      </c>
      <c r="M135">
        <v>3374417.41</v>
      </c>
      <c r="N135">
        <v>651858.52</v>
      </c>
      <c r="O135">
        <v>0</v>
      </c>
      <c r="P135">
        <v>12994293.43</v>
      </c>
      <c r="Q135">
        <v>1137057.82</v>
      </c>
      <c r="R135" s="2">
        <v>0.31549714366590403</v>
      </c>
    </row>
    <row r="136" spans="1:18" x14ac:dyDescent="0.15">
      <c r="A136" t="s">
        <v>41</v>
      </c>
      <c r="B136" t="s">
        <v>23</v>
      </c>
      <c r="C136">
        <v>2393154.96</v>
      </c>
      <c r="D136">
        <v>646829.13679999998</v>
      </c>
      <c r="E136">
        <v>68131.707900000038</v>
      </c>
      <c r="F136">
        <v>962231.5</v>
      </c>
      <c r="G136">
        <v>359243.82</v>
      </c>
      <c r="H136">
        <v>159648.48000000001</v>
      </c>
      <c r="I136">
        <v>284217.09000000003</v>
      </c>
      <c r="J136">
        <v>619447.31000000006</v>
      </c>
      <c r="K136">
        <v>96280.6</v>
      </c>
      <c r="L136">
        <v>343196.78</v>
      </c>
      <c r="M136">
        <v>608543.53</v>
      </c>
      <c r="N136">
        <v>385469.01</v>
      </c>
      <c r="O136">
        <v>777042.06</v>
      </c>
      <c r="P136">
        <v>46975.040000000001</v>
      </c>
      <c r="Q136">
        <v>167173.85</v>
      </c>
      <c r="R136" s="2">
        <v>0.1670609986368454</v>
      </c>
    </row>
    <row r="137" spans="1:18" x14ac:dyDescent="0.15">
      <c r="A137" t="s">
        <v>41</v>
      </c>
      <c r="B137" t="s">
        <v>24</v>
      </c>
      <c r="C137">
        <v>5899992.2400000002</v>
      </c>
      <c r="D137">
        <v>2602155.8243</v>
      </c>
      <c r="E137">
        <v>16919.93310000002</v>
      </c>
      <c r="F137">
        <v>829764.79999999993</v>
      </c>
      <c r="G137">
        <v>799827.16999999993</v>
      </c>
      <c r="H137">
        <v>457043.14</v>
      </c>
      <c r="I137">
        <v>1246086.94</v>
      </c>
      <c r="J137">
        <v>2570997.2599999998</v>
      </c>
      <c r="K137">
        <v>736089.11</v>
      </c>
      <c r="L137">
        <v>604072.21</v>
      </c>
      <c r="M137">
        <v>345096.48</v>
      </c>
      <c r="N137">
        <v>288013.96000000002</v>
      </c>
      <c r="O137">
        <v>578543.33000000007</v>
      </c>
      <c r="P137">
        <v>2289811.84</v>
      </c>
      <c r="Q137">
        <v>204043.32</v>
      </c>
      <c r="R137" s="2">
        <v>0.26834912217956336</v>
      </c>
    </row>
    <row r="138" spans="1:18" x14ac:dyDescent="0.15">
      <c r="A138" t="s">
        <v>41</v>
      </c>
      <c r="B138" t="s">
        <v>25</v>
      </c>
      <c r="C138">
        <v>1689512.78</v>
      </c>
      <c r="D138">
        <v>604295.51789999998</v>
      </c>
      <c r="E138">
        <v>24314.94019999995</v>
      </c>
      <c r="F138">
        <v>501214.59</v>
      </c>
      <c r="G138">
        <v>288624.08</v>
      </c>
      <c r="H138">
        <v>294215.95</v>
      </c>
      <c r="I138">
        <v>97301.58</v>
      </c>
      <c r="J138">
        <v>491156.71</v>
      </c>
      <c r="K138">
        <v>580726.93999999994</v>
      </c>
      <c r="L138">
        <v>172505.60000000001</v>
      </c>
      <c r="M138">
        <v>212513.03</v>
      </c>
      <c r="N138">
        <v>228269.31</v>
      </c>
      <c r="O138">
        <v>0</v>
      </c>
      <c r="P138">
        <v>56262.12</v>
      </c>
      <c r="Q138">
        <v>337488.29</v>
      </c>
      <c r="R138" s="2">
        <v>7.6455811500005383E-2</v>
      </c>
    </row>
    <row r="139" spans="1:18" x14ac:dyDescent="0.15">
      <c r="A139" t="s">
        <v>41</v>
      </c>
      <c r="B139" t="s">
        <v>26</v>
      </c>
      <c r="C139">
        <v>1585535.01</v>
      </c>
      <c r="D139">
        <v>762465.10369999998</v>
      </c>
      <c r="E139">
        <v>122164.1917999999</v>
      </c>
      <c r="F139">
        <v>416933.19</v>
      </c>
      <c r="G139">
        <v>420939.05</v>
      </c>
      <c r="H139">
        <v>362881.88</v>
      </c>
      <c r="I139">
        <v>268185.56</v>
      </c>
      <c r="J139">
        <v>119674.41</v>
      </c>
      <c r="K139">
        <v>141124.4</v>
      </c>
      <c r="L139">
        <v>1029261.64</v>
      </c>
      <c r="M139">
        <v>1129659.5</v>
      </c>
      <c r="N139">
        <v>89877.5</v>
      </c>
      <c r="O139">
        <v>0</v>
      </c>
      <c r="P139">
        <v>5340.12</v>
      </c>
      <c r="Q139">
        <v>236470.38</v>
      </c>
      <c r="R139" s="2">
        <v>0.15572384494448938</v>
      </c>
    </row>
    <row r="140" spans="1:18" x14ac:dyDescent="0.15">
      <c r="A140" t="s">
        <v>41</v>
      </c>
      <c r="B140" t="s">
        <v>27</v>
      </c>
      <c r="C140">
        <v>725310.19</v>
      </c>
      <c r="D140">
        <v>408858.99339999998</v>
      </c>
      <c r="E140">
        <v>26248.661299999982</v>
      </c>
      <c r="F140">
        <v>143660.87</v>
      </c>
      <c r="G140">
        <v>143318.63</v>
      </c>
      <c r="H140">
        <v>46440.91</v>
      </c>
      <c r="I140">
        <v>70552.56</v>
      </c>
      <c r="J140">
        <v>319398.93</v>
      </c>
      <c r="K140">
        <v>290837.78999999998</v>
      </c>
      <c r="L140">
        <v>146044.65</v>
      </c>
      <c r="M140">
        <v>46904.77</v>
      </c>
      <c r="N140">
        <v>8218.4700000000012</v>
      </c>
      <c r="O140">
        <v>0</v>
      </c>
      <c r="P140">
        <v>75783.78</v>
      </c>
      <c r="Q140">
        <v>59546.14</v>
      </c>
      <c r="R140" s="2">
        <v>9.6120682746582545E-2</v>
      </c>
    </row>
    <row r="141" spans="1:18" x14ac:dyDescent="0.15">
      <c r="A141" t="s">
        <v>41</v>
      </c>
      <c r="B141" t="s">
        <v>28</v>
      </c>
      <c r="C141">
        <v>4480745.4399999985</v>
      </c>
      <c r="D141">
        <v>2364565.1527</v>
      </c>
      <c r="E141">
        <v>119291.4405</v>
      </c>
      <c r="F141">
        <v>1253819.3999999999</v>
      </c>
      <c r="G141">
        <v>550960.26</v>
      </c>
      <c r="H141">
        <v>517326.47</v>
      </c>
      <c r="I141">
        <v>1070018.6000000001</v>
      </c>
      <c r="J141">
        <v>1014975.49</v>
      </c>
      <c r="K141">
        <v>1588976.67</v>
      </c>
      <c r="L141">
        <v>175728.77</v>
      </c>
      <c r="M141">
        <v>428176.84</v>
      </c>
      <c r="N141">
        <v>1374450.9</v>
      </c>
      <c r="O141">
        <v>61500</v>
      </c>
      <c r="P141">
        <v>262101.68</v>
      </c>
      <c r="Q141">
        <v>364110.32</v>
      </c>
      <c r="R141" s="2">
        <v>9.4656508063985789E-2</v>
      </c>
    </row>
    <row r="142" spans="1:18" x14ac:dyDescent="0.15">
      <c r="A142" t="s">
        <v>42</v>
      </c>
      <c r="B142" t="s">
        <v>19</v>
      </c>
      <c r="C142">
        <v>1988298.78</v>
      </c>
      <c r="D142">
        <v>870842.33629999997</v>
      </c>
      <c r="E142">
        <v>51267.059899999993</v>
      </c>
      <c r="F142">
        <v>476653.67</v>
      </c>
      <c r="G142">
        <v>399646.13</v>
      </c>
      <c r="H142">
        <v>271816.56</v>
      </c>
      <c r="I142">
        <v>94327.03</v>
      </c>
      <c r="J142">
        <v>732686.17999999993</v>
      </c>
      <c r="K142">
        <v>636337.23</v>
      </c>
      <c r="L142">
        <v>378319.78</v>
      </c>
      <c r="M142">
        <v>330361.19</v>
      </c>
      <c r="N142">
        <v>290623.23</v>
      </c>
      <c r="O142">
        <v>17449.98</v>
      </c>
      <c r="P142">
        <v>202935.85</v>
      </c>
      <c r="Q142">
        <v>0</v>
      </c>
      <c r="R142" s="2"/>
    </row>
    <row r="143" spans="1:18" x14ac:dyDescent="0.15">
      <c r="A143" t="s">
        <v>42</v>
      </c>
      <c r="B143" t="s">
        <v>20</v>
      </c>
      <c r="C143">
        <v>1439381.42</v>
      </c>
      <c r="D143">
        <v>645246.45539999998</v>
      </c>
      <c r="E143">
        <v>73156.399499999941</v>
      </c>
      <c r="F143">
        <v>276460.19</v>
      </c>
      <c r="G143">
        <v>383290.72</v>
      </c>
      <c r="H143">
        <v>123149.88</v>
      </c>
      <c r="I143">
        <v>126644.18</v>
      </c>
      <c r="J143">
        <v>510254.67</v>
      </c>
      <c r="K143">
        <v>687046.82</v>
      </c>
      <c r="L143">
        <v>99079.48</v>
      </c>
      <c r="M143">
        <v>184783.94</v>
      </c>
      <c r="N143">
        <v>180029.96</v>
      </c>
      <c r="O143">
        <v>15000</v>
      </c>
      <c r="P143">
        <v>192402.03</v>
      </c>
      <c r="Q143">
        <v>0</v>
      </c>
      <c r="R143" s="2"/>
    </row>
    <row r="144" spans="1:18" x14ac:dyDescent="0.15">
      <c r="A144" t="s">
        <v>42</v>
      </c>
      <c r="B144" t="s">
        <v>21</v>
      </c>
      <c r="C144">
        <v>46908933.149999999</v>
      </c>
      <c r="D144">
        <v>3473826.1146999998</v>
      </c>
      <c r="E144">
        <v>1698714.034</v>
      </c>
      <c r="F144">
        <v>18154468.579999998</v>
      </c>
      <c r="G144">
        <v>17130653.82</v>
      </c>
      <c r="H144">
        <v>8100258.1799999997</v>
      </c>
      <c r="I144">
        <v>1657100.26</v>
      </c>
      <c r="J144">
        <v>1866452.31</v>
      </c>
      <c r="K144">
        <v>1824.47</v>
      </c>
      <c r="L144">
        <v>189.02</v>
      </c>
      <c r="M144">
        <v>1130611.01</v>
      </c>
      <c r="N144">
        <v>842742</v>
      </c>
      <c r="O144">
        <v>44933607.670000002</v>
      </c>
      <c r="P144">
        <v>0</v>
      </c>
      <c r="Q144">
        <v>0</v>
      </c>
      <c r="R144" s="2"/>
    </row>
    <row r="145" spans="1:18" x14ac:dyDescent="0.15">
      <c r="A145" t="s">
        <v>42</v>
      </c>
      <c r="B145" t="s">
        <v>22</v>
      </c>
      <c r="C145">
        <v>20419078.34</v>
      </c>
      <c r="D145">
        <v>2147905.3783999998</v>
      </c>
      <c r="E145">
        <v>578110.29209999973</v>
      </c>
      <c r="F145">
        <v>2530141.86</v>
      </c>
      <c r="G145">
        <v>6461177.5099999998</v>
      </c>
      <c r="H145">
        <v>9807280.459999999</v>
      </c>
      <c r="I145">
        <v>875520.99</v>
      </c>
      <c r="J145">
        <v>724193.68</v>
      </c>
      <c r="K145">
        <v>887649.34</v>
      </c>
      <c r="L145">
        <v>701591.44</v>
      </c>
      <c r="M145">
        <v>4164720.28</v>
      </c>
      <c r="N145">
        <v>891790.98</v>
      </c>
      <c r="O145">
        <v>0</v>
      </c>
      <c r="P145">
        <v>13231219.65</v>
      </c>
      <c r="Q145">
        <v>0</v>
      </c>
      <c r="R145" s="2"/>
    </row>
    <row r="146" spans="1:18" x14ac:dyDescent="0.15">
      <c r="A146" t="s">
        <v>42</v>
      </c>
      <c r="B146" t="s">
        <v>23</v>
      </c>
      <c r="C146">
        <v>3031146.46</v>
      </c>
      <c r="D146">
        <v>740207.92449999996</v>
      </c>
      <c r="E146">
        <v>161510.49559999999</v>
      </c>
      <c r="F146">
        <v>805074.65</v>
      </c>
      <c r="G146">
        <v>1074106.9099999999</v>
      </c>
      <c r="H146">
        <v>195681.79</v>
      </c>
      <c r="I146">
        <v>312504.34000000003</v>
      </c>
      <c r="J146">
        <v>635311.30000000005</v>
      </c>
      <c r="K146">
        <v>102184.62</v>
      </c>
      <c r="L146">
        <v>404482.27</v>
      </c>
      <c r="M146">
        <v>819981.55</v>
      </c>
      <c r="N146">
        <v>395695.59</v>
      </c>
      <c r="O146">
        <v>1042713.63</v>
      </c>
      <c r="P146">
        <v>58248.170000000013</v>
      </c>
      <c r="Q146">
        <v>0</v>
      </c>
      <c r="R146" s="2"/>
    </row>
    <row r="147" spans="1:18" x14ac:dyDescent="0.15">
      <c r="A147" t="s">
        <v>42</v>
      </c>
      <c r="B147" t="s">
        <v>24</v>
      </c>
      <c r="C147">
        <v>6785590.2599999998</v>
      </c>
      <c r="D147">
        <v>2708940.2974999999</v>
      </c>
      <c r="E147">
        <v>123704.4062999999</v>
      </c>
      <c r="F147">
        <v>1086350.1200000001</v>
      </c>
      <c r="G147">
        <v>1200987.44</v>
      </c>
      <c r="H147">
        <v>511907.13</v>
      </c>
      <c r="I147">
        <v>1372281.95</v>
      </c>
      <c r="J147">
        <v>2618694.2599999998</v>
      </c>
      <c r="K147">
        <v>753480.53</v>
      </c>
      <c r="L147">
        <v>669413.13</v>
      </c>
      <c r="M147">
        <v>413937.32</v>
      </c>
      <c r="N147">
        <v>375743.93</v>
      </c>
      <c r="O147">
        <v>1132359.99</v>
      </c>
      <c r="P147">
        <v>2332018.0099999998</v>
      </c>
      <c r="Q147">
        <v>0</v>
      </c>
      <c r="R147" s="2"/>
    </row>
    <row r="148" spans="1:18" x14ac:dyDescent="0.15">
      <c r="A148" t="s">
        <v>42</v>
      </c>
      <c r="B148" t="s">
        <v>25</v>
      </c>
      <c r="C148">
        <v>2003599</v>
      </c>
      <c r="D148">
        <v>637796.17850000004</v>
      </c>
      <c r="E148">
        <v>57815.600800000007</v>
      </c>
      <c r="F148">
        <v>646335.59000000008</v>
      </c>
      <c r="G148">
        <v>354839.86</v>
      </c>
      <c r="H148">
        <v>412737.66999999993</v>
      </c>
      <c r="I148">
        <v>89229</v>
      </c>
      <c r="J148">
        <v>505287.1</v>
      </c>
      <c r="K148">
        <v>614436.68000000005</v>
      </c>
      <c r="L148">
        <v>191054.15</v>
      </c>
      <c r="M148">
        <v>224439.98</v>
      </c>
      <c r="N148">
        <v>239101.43</v>
      </c>
      <c r="O148">
        <v>0</v>
      </c>
      <c r="P148">
        <v>14979.77</v>
      </c>
      <c r="Q148">
        <v>0</v>
      </c>
      <c r="R148" s="2"/>
    </row>
    <row r="149" spans="1:18" x14ac:dyDescent="0.15">
      <c r="A149" t="s">
        <v>42</v>
      </c>
      <c r="B149" t="s">
        <v>26</v>
      </c>
      <c r="C149">
        <v>1817374.32</v>
      </c>
      <c r="D149">
        <v>763018.67969999998</v>
      </c>
      <c r="E149">
        <v>122717.7677999999</v>
      </c>
      <c r="F149">
        <v>464929.62</v>
      </c>
      <c r="G149">
        <v>588746.88</v>
      </c>
      <c r="H149">
        <v>294656.31000000011</v>
      </c>
      <c r="I149">
        <v>337478.91</v>
      </c>
      <c r="J149">
        <v>125921.3</v>
      </c>
      <c r="K149">
        <v>147682.14000000001</v>
      </c>
      <c r="L149">
        <v>1261358.8999999999</v>
      </c>
      <c r="M149">
        <v>1350562.99</v>
      </c>
      <c r="N149">
        <v>95101.440000000002</v>
      </c>
      <c r="O149">
        <v>0</v>
      </c>
      <c r="P149">
        <v>83800.639999999999</v>
      </c>
      <c r="Q149">
        <v>0</v>
      </c>
      <c r="R149" s="2"/>
    </row>
    <row r="150" spans="1:18" x14ac:dyDescent="0.15">
      <c r="A150" t="s">
        <v>42</v>
      </c>
      <c r="B150" t="s">
        <v>27</v>
      </c>
      <c r="C150">
        <v>770913.77</v>
      </c>
      <c r="D150">
        <v>438271.32339999999</v>
      </c>
      <c r="E150">
        <v>55660.991299999987</v>
      </c>
      <c r="F150">
        <v>101949.84</v>
      </c>
      <c r="G150">
        <v>215084.2</v>
      </c>
      <c r="H150">
        <v>51682.36</v>
      </c>
      <c r="I150">
        <v>74948.899999999994</v>
      </c>
      <c r="J150">
        <v>326758.03999999998</v>
      </c>
      <c r="K150">
        <v>299213.73</v>
      </c>
      <c r="L150">
        <v>158371.42000000001</v>
      </c>
      <c r="M150">
        <v>58787.569999999992</v>
      </c>
      <c r="N150">
        <v>9097.67</v>
      </c>
      <c r="O150">
        <v>0</v>
      </c>
      <c r="P150">
        <v>91894.79</v>
      </c>
      <c r="Q150">
        <v>0</v>
      </c>
      <c r="R150" s="2"/>
    </row>
    <row r="151" spans="1:18" x14ac:dyDescent="0.15">
      <c r="A151" t="s">
        <v>42</v>
      </c>
      <c r="B151" t="s">
        <v>28</v>
      </c>
      <c r="C151">
        <v>5111519.74</v>
      </c>
      <c r="D151">
        <v>2528921.2845000001</v>
      </c>
      <c r="E151">
        <v>283647.57230000012</v>
      </c>
      <c r="F151">
        <v>974590.91</v>
      </c>
      <c r="G151">
        <v>1246548.07</v>
      </c>
      <c r="H151">
        <v>597984.57000000007</v>
      </c>
      <c r="I151">
        <v>902998.24</v>
      </c>
      <c r="J151">
        <v>1283973.32</v>
      </c>
      <c r="K151">
        <v>1677658.91</v>
      </c>
      <c r="L151">
        <v>201183.86</v>
      </c>
      <c r="M151">
        <v>511502.92</v>
      </c>
      <c r="N151">
        <v>1681884.85</v>
      </c>
      <c r="O151">
        <v>86750</v>
      </c>
      <c r="P151">
        <v>244543.06</v>
      </c>
      <c r="Q151">
        <v>0</v>
      </c>
      <c r="R151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源淇 周</cp:lastModifiedBy>
  <dcterms:created xsi:type="dcterms:W3CDTF">2026-03-09T16:23:36Z</dcterms:created>
  <dcterms:modified xsi:type="dcterms:W3CDTF">2026-03-09T17:10:55Z</dcterms:modified>
</cp:coreProperties>
</file>